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itl\Documents\coding - ALL\data analytics portfolio\"/>
    </mc:Choice>
  </mc:AlternateContent>
  <xr:revisionPtr revIDLastSave="0" documentId="13_ncr:1_{5B887044-8676-4F8F-B24B-70935E1DAD35}" xr6:coauthVersionLast="47" xr6:coauthVersionMax="47" xr10:uidLastSave="{00000000-0000-0000-0000-000000000000}"/>
  <bookViews>
    <workbookView xWindow="-108" yWindow="-108" windowWidth="23256" windowHeight="12456" firstSheet="1" activeTab="3" xr2:uid="{1F63713D-96B3-49DC-B43A-C4A9B29A7F4F}"/>
  </bookViews>
  <sheets>
    <sheet name="Assumptions" sheetId="1" r:id="rId1"/>
    <sheet name="Model" sheetId="2" r:id="rId2"/>
    <sheet name="Summary" sheetId="3" r:id="rId3"/>
    <sheet name="NTM Forecast" sheetId="6" r:id="rId4"/>
    <sheet name="PBI Scenario Summary" sheetId="7" r:id="rId5"/>
    <sheet name="PBI Assumptions" sheetId="9" r:id="rId6"/>
    <sheet name="PBI NTM Forecast" sheetId="8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6" l="1"/>
  <c r="K8" i="6"/>
  <c r="K9" i="6"/>
  <c r="K10" i="6"/>
  <c r="K11" i="6"/>
  <c r="K12" i="6"/>
  <c r="K13" i="6"/>
  <c r="K14" i="6"/>
  <c r="K15" i="6"/>
  <c r="K16" i="6"/>
  <c r="K17" i="6"/>
  <c r="J7" i="6"/>
  <c r="J8" i="6"/>
  <c r="J9" i="6"/>
  <c r="J10" i="6"/>
  <c r="J11" i="6"/>
  <c r="J12" i="6"/>
  <c r="J13" i="6"/>
  <c r="J14" i="6"/>
  <c r="J15" i="6"/>
  <c r="J16" i="6"/>
  <c r="J17" i="6"/>
  <c r="K6" i="6"/>
  <c r="J6" i="6"/>
  <c r="C25" i="6"/>
  <c r="C24" i="6"/>
  <c r="C23" i="6"/>
  <c r="C22" i="6"/>
  <c r="C21" i="6"/>
  <c r="C20" i="6"/>
  <c r="C7" i="6"/>
  <c r="C8" i="6"/>
  <c r="C9" i="6"/>
  <c r="C10" i="6"/>
  <c r="C11" i="6"/>
  <c r="C12" i="6"/>
  <c r="C13" i="6"/>
  <c r="C14" i="6"/>
  <c r="C15" i="6"/>
  <c r="C16" i="6"/>
  <c r="C17" i="6"/>
  <c r="C6" i="6"/>
  <c r="B7" i="6"/>
  <c r="D7" i="6" s="1"/>
  <c r="E7" i="6" s="1"/>
  <c r="F7" i="6" s="1"/>
  <c r="G7" i="6" s="1"/>
  <c r="H7" i="6" s="1"/>
  <c r="B8" i="6"/>
  <c r="D8" i="6" s="1"/>
  <c r="E8" i="6" s="1"/>
  <c r="F8" i="6" s="1"/>
  <c r="G8" i="6" s="1"/>
  <c r="H8" i="6" s="1"/>
  <c r="B9" i="6"/>
  <c r="D9" i="6" s="1"/>
  <c r="E9" i="6" s="1"/>
  <c r="F9" i="6" s="1"/>
  <c r="G9" i="6" s="1"/>
  <c r="H9" i="6" s="1"/>
  <c r="B10" i="6"/>
  <c r="D10" i="6" s="1"/>
  <c r="E10" i="6" s="1"/>
  <c r="F10" i="6" s="1"/>
  <c r="G10" i="6" s="1"/>
  <c r="H10" i="6" s="1"/>
  <c r="B11" i="6"/>
  <c r="D11" i="6" s="1"/>
  <c r="E11" i="6" s="1"/>
  <c r="F11" i="6" s="1"/>
  <c r="G11" i="6" s="1"/>
  <c r="H11" i="6" s="1"/>
  <c r="B12" i="6"/>
  <c r="D12" i="6" s="1"/>
  <c r="E12" i="6" s="1"/>
  <c r="F12" i="6" s="1"/>
  <c r="G12" i="6" s="1"/>
  <c r="H12" i="6" s="1"/>
  <c r="B13" i="6"/>
  <c r="D13" i="6" s="1"/>
  <c r="E13" i="6" s="1"/>
  <c r="F13" i="6" s="1"/>
  <c r="G13" i="6" s="1"/>
  <c r="H13" i="6" s="1"/>
  <c r="B14" i="6"/>
  <c r="D14" i="6" s="1"/>
  <c r="E14" i="6" s="1"/>
  <c r="F14" i="6" s="1"/>
  <c r="G14" i="6" s="1"/>
  <c r="H14" i="6" s="1"/>
  <c r="B15" i="6"/>
  <c r="D15" i="6" s="1"/>
  <c r="E15" i="6" s="1"/>
  <c r="F15" i="6" s="1"/>
  <c r="G15" i="6" s="1"/>
  <c r="H15" i="6" s="1"/>
  <c r="B16" i="6"/>
  <c r="D16" i="6" s="1"/>
  <c r="E16" i="6" s="1"/>
  <c r="F16" i="6" s="1"/>
  <c r="G16" i="6" s="1"/>
  <c r="H16" i="6" s="1"/>
  <c r="B17" i="6"/>
  <c r="D17" i="6" s="1"/>
  <c r="E17" i="6" s="1"/>
  <c r="F17" i="6" s="1"/>
  <c r="G17" i="6" s="1"/>
  <c r="H17" i="6" s="1"/>
  <c r="B6" i="6"/>
  <c r="D6" i="6" s="1"/>
  <c r="E6" i="6" s="1"/>
  <c r="F6" i="6" s="1"/>
  <c r="G6" i="6" s="1"/>
  <c r="H6" i="6" s="1"/>
  <c r="B42" i="1"/>
  <c r="A30" i="3"/>
  <c r="A31" i="3"/>
  <c r="A32" i="3"/>
  <c r="A33" i="3"/>
  <c r="A34" i="3"/>
  <c r="B30" i="3"/>
  <c r="C30" i="3"/>
  <c r="D30" i="3"/>
  <c r="E30" i="3"/>
  <c r="F30" i="3"/>
  <c r="B31" i="3"/>
  <c r="C31" i="3"/>
  <c r="D31" i="3"/>
  <c r="E31" i="3"/>
  <c r="F31" i="3"/>
  <c r="B32" i="3"/>
  <c r="C32" i="3"/>
  <c r="D32" i="3"/>
  <c r="E32" i="3"/>
  <c r="F32" i="3"/>
  <c r="B33" i="3"/>
  <c r="C33" i="3"/>
  <c r="D33" i="3"/>
  <c r="E33" i="3"/>
  <c r="F33" i="3"/>
  <c r="B34" i="3"/>
  <c r="C34" i="3"/>
  <c r="D34" i="3"/>
  <c r="E34" i="3"/>
  <c r="F34" i="3"/>
  <c r="C29" i="3"/>
  <c r="D29" i="3"/>
  <c r="E29" i="3"/>
  <c r="F29" i="3"/>
  <c r="B29" i="3"/>
  <c r="A44" i="1"/>
  <c r="F17" i="3"/>
  <c r="D17" i="3"/>
  <c r="B17" i="3"/>
  <c r="B14" i="3"/>
  <c r="D14" i="3"/>
  <c r="F14" i="3"/>
  <c r="F13" i="3"/>
  <c r="D13" i="3"/>
  <c r="B13" i="3"/>
  <c r="G12" i="2"/>
  <c r="E12" i="2"/>
  <c r="E26" i="2" s="1"/>
  <c r="C12" i="2"/>
  <c r="C26" i="2" s="1"/>
  <c r="G27" i="2"/>
  <c r="F27" i="2"/>
  <c r="E27" i="2"/>
  <c r="D27" i="2"/>
  <c r="C27" i="2"/>
  <c r="B27" i="2"/>
  <c r="G26" i="2"/>
  <c r="F26" i="2"/>
  <c r="G22" i="2"/>
  <c r="F22" i="2"/>
  <c r="E22" i="2"/>
  <c r="D22" i="2"/>
  <c r="C22" i="2"/>
  <c r="B22" i="2"/>
  <c r="G17" i="2"/>
  <c r="F17" i="2"/>
  <c r="E17" i="2"/>
  <c r="D17" i="2"/>
  <c r="C17" i="2"/>
  <c r="B17" i="2"/>
  <c r="C15" i="2"/>
  <c r="C16" i="2" s="1"/>
  <c r="C18" i="2" s="1"/>
  <c r="B15" i="2"/>
  <c r="B16" i="2" s="1"/>
  <c r="B18" i="2" s="1"/>
  <c r="G14" i="2"/>
  <c r="G15" i="2" s="1"/>
  <c r="F14" i="2"/>
  <c r="F15" i="2" s="1"/>
  <c r="E14" i="2"/>
  <c r="E15" i="2" s="1"/>
  <c r="D14" i="2"/>
  <c r="D15" i="2" s="1"/>
  <c r="C14" i="2"/>
  <c r="B14" i="2"/>
  <c r="F12" i="2"/>
  <c r="D12" i="2"/>
  <c r="B12" i="2"/>
  <c r="G11" i="2"/>
  <c r="E11" i="2"/>
  <c r="C11" i="2"/>
  <c r="G10" i="2"/>
  <c r="C10" i="2"/>
  <c r="D10" i="2"/>
  <c r="E10" i="2"/>
  <c r="F10" i="2"/>
  <c r="B10" i="2"/>
  <c r="G9" i="2"/>
  <c r="E9" i="2"/>
  <c r="C9" i="2"/>
  <c r="F9" i="2"/>
  <c r="D9" i="2"/>
  <c r="B9" i="2"/>
  <c r="G8" i="2"/>
  <c r="F8" i="2"/>
  <c r="D8" i="2"/>
  <c r="E8" i="2"/>
  <c r="C8" i="2"/>
  <c r="B8" i="2"/>
  <c r="B31" i="1"/>
  <c r="B26" i="1"/>
  <c r="B25" i="1"/>
  <c r="B24" i="1"/>
  <c r="B20" i="2" l="1"/>
  <c r="B21" i="2" s="1"/>
  <c r="B23" i="2" s="1"/>
  <c r="B25" i="2" s="1"/>
  <c r="B19" i="2"/>
  <c r="C19" i="2"/>
  <c r="C20" i="2" s="1"/>
  <c r="C21" i="2" s="1"/>
  <c r="C23" i="2" s="1"/>
  <c r="D19" i="2"/>
  <c r="D16" i="2"/>
  <c r="D18" i="2" s="1"/>
  <c r="D20" i="2" s="1"/>
  <c r="D21" i="2" s="1"/>
  <c r="D23" i="2" s="1"/>
  <c r="E19" i="2"/>
  <c r="E16" i="2"/>
  <c r="E18" i="2" s="1"/>
  <c r="E20" i="2" s="1"/>
  <c r="E21" i="2" s="1"/>
  <c r="E23" i="2" s="1"/>
  <c r="D15" i="3" s="1"/>
  <c r="G16" i="2"/>
  <c r="G18" i="2" s="1"/>
  <c r="G19" i="2"/>
  <c r="F19" i="2"/>
  <c r="F16" i="2"/>
  <c r="F18" i="2" s="1"/>
  <c r="F20" i="2" s="1"/>
  <c r="F21" i="2" s="1"/>
  <c r="F23" i="2" s="1"/>
  <c r="D26" i="2"/>
  <c r="B26" i="2"/>
  <c r="B15" i="3" l="1"/>
  <c r="C29" i="2"/>
  <c r="C25" i="2"/>
  <c r="B16" i="3" s="1"/>
  <c r="C28" i="2"/>
  <c r="E25" i="2"/>
  <c r="D25" i="2"/>
  <c r="D28" i="2" s="1"/>
  <c r="D30" i="2" s="1"/>
  <c r="F25" i="2"/>
  <c r="F28" i="2" s="1"/>
  <c r="F30" i="2" s="1"/>
  <c r="F29" i="2"/>
  <c r="F31" i="2" s="1"/>
  <c r="G25" i="2"/>
  <c r="G20" i="2"/>
  <c r="G21" i="2" s="1"/>
  <c r="G23" i="2" s="1"/>
  <c r="C31" i="2"/>
  <c r="B21" i="3" s="1"/>
  <c r="B19" i="3"/>
  <c r="E29" i="2"/>
  <c r="D29" i="2"/>
  <c r="D31" i="2" s="1"/>
  <c r="B29" i="2"/>
  <c r="B28" i="2"/>
  <c r="B30" i="2" s="1"/>
  <c r="C8" i="3" s="1"/>
  <c r="E31" i="2" l="1"/>
  <c r="D21" i="3" s="1"/>
  <c r="D19" i="3"/>
  <c r="G28" i="2"/>
  <c r="F16" i="3"/>
  <c r="G29" i="2"/>
  <c r="F15" i="3"/>
  <c r="E5" i="1"/>
  <c r="E28" i="2"/>
  <c r="D16" i="3"/>
  <c r="B31" i="2"/>
  <c r="E8" i="3" s="1"/>
  <c r="A8" i="3"/>
  <c r="C30" i="2"/>
  <c r="B20" i="3" s="1"/>
  <c r="B18" i="3"/>
  <c r="E30" i="2" l="1"/>
  <c r="D20" i="3" s="1"/>
  <c r="D18" i="3"/>
  <c r="G31" i="2"/>
  <c r="F21" i="3" s="1"/>
  <c r="F19" i="3"/>
  <c r="G30" i="2"/>
  <c r="F20" i="3" s="1"/>
  <c r="F18" i="3"/>
</calcChain>
</file>

<file path=xl/sharedStrings.xml><?xml version="1.0" encoding="utf-8"?>
<sst xmlns="http://schemas.openxmlformats.org/spreadsheetml/2006/main" count="217" uniqueCount="157">
  <si>
    <t>EV Charging Infrastructure - Financial Model Assumptions</t>
  </si>
  <si>
    <t>SOURCE: SDG&amp;E 2026 Rate Schedule / CALeVIP / D03</t>
  </si>
  <si>
    <t>ELECTRICITY RATES (SDG&amp;E 2026)</t>
  </si>
  <si>
    <t>On-Peak Rate (4-9pm)</t>
  </si>
  <si>
    <t>$/kWh</t>
  </si>
  <si>
    <t>Off-Peak Rate</t>
  </si>
  <si>
    <t>Super Off-Peak Rate</t>
  </si>
  <si>
    <t>Solar Generation Cost (midday)</t>
  </si>
  <si>
    <t>CHARGER SPECIFICATIONS</t>
  </si>
  <si>
    <t>Charger Type</t>
  </si>
  <si>
    <t>Charger Output</t>
  </si>
  <si>
    <t>Average Discharge Hours per Day (4-9pm)</t>
  </si>
  <si>
    <t>EV Battery Capacity (Tesla Model 3 equivalent)</t>
  </si>
  <si>
    <t>Average Charge Hours per Day (6am-3pm)</t>
  </si>
  <si>
    <t>Round-trip Efficiency</t>
  </si>
  <si>
    <t>Level 2 Bidirectional</t>
  </si>
  <si>
    <t xml:space="preserve"> - </t>
  </si>
  <si>
    <t>kW</t>
  </si>
  <si>
    <t>hours</t>
  </si>
  <si>
    <t>kWh</t>
  </si>
  <si>
    <t>%</t>
  </si>
  <si>
    <t>CAPITAL COSTS (per charger)</t>
  </si>
  <si>
    <t>Bidirectional Level 2 Charger Unit Cost</t>
  </si>
  <si>
    <t>Installation Cost per Charger</t>
  </si>
  <si>
    <t>Solar Canopy Cost per Space</t>
  </si>
  <si>
    <t>Total Gross Cost per Charger</t>
  </si>
  <si>
    <t>CALeVIP Rebate per Charger (75% up to $6000)</t>
  </si>
  <si>
    <t>Net Cost per Charger (after rebate)</t>
  </si>
  <si>
    <t>$</t>
  </si>
  <si>
    <t>OPERATING COSTS (annual, per charger)</t>
  </si>
  <si>
    <t>Maintenance Cost per Charger</t>
  </si>
  <si>
    <t>Software/Network Fee per Charger</t>
  </si>
  <si>
    <t>Total Annual OpEx per Charger</t>
  </si>
  <si>
    <t>$/year</t>
  </si>
  <si>
    <t>LOT SIZE SCENARIOS</t>
  </si>
  <si>
    <t>Small Lot - Number of Chargers</t>
  </si>
  <si>
    <t>Medium Lot - Number of Chargers</t>
  </si>
  <si>
    <t>Large Lot - Number of Chargers</t>
  </si>
  <si>
    <t>EV Adoption Rate (% of spaces used daily)</t>
  </si>
  <si>
    <t>spaces</t>
  </si>
  <si>
    <t>PROJECT TIMELINE</t>
  </si>
  <si>
    <t>Analysis Period</t>
  </si>
  <si>
    <t>Annual Cost Escalation Rate</t>
  </si>
  <si>
    <t>years</t>
  </si>
  <si>
    <t>3% inflation</t>
  </si>
  <si>
    <t>EV Charging Infrastructure - Multi-Scenario Financial Model</t>
  </si>
  <si>
    <t xml:space="preserve">All values linked from Assumptions sheet. Change inputs there to update model. </t>
  </si>
  <si>
    <t>SCENARIO</t>
  </si>
  <si>
    <t>SMALL LOT</t>
  </si>
  <si>
    <t>MEDIUM LOT</t>
  </si>
  <si>
    <t>LARGE LOT</t>
  </si>
  <si>
    <t>METRIC</t>
  </si>
  <si>
    <t>Gross</t>
  </si>
  <si>
    <t>Net (after rebate)</t>
  </si>
  <si>
    <t>CAPITAL COSTS</t>
  </si>
  <si>
    <t>Number of Chargers</t>
  </si>
  <si>
    <t>Cost per Charger</t>
  </si>
  <si>
    <t>Total Capital Cost</t>
  </si>
  <si>
    <t>CALeVIP Rebate Total</t>
  </si>
  <si>
    <t>Net Capital Investment</t>
  </si>
  <si>
    <t>ANNUAL ENERGY ECONOMICS (per charger)</t>
  </si>
  <si>
    <t>Solar Energy Stored per Day (kWh)</t>
  </si>
  <si>
    <t>Energy Discharged per Day (kWh, after efficiency loss)</t>
  </si>
  <si>
    <t>Peak Hours Discharged per Day</t>
  </si>
  <si>
    <t>Revenue from V2G Export (daily)</t>
  </si>
  <si>
    <t>Cost of Solar Charging (daily)</t>
  </si>
  <si>
    <t>Net Daily Savings per Lot</t>
  </si>
  <si>
    <t>Annual Revenue/Savings</t>
  </si>
  <si>
    <t>Annual OpEx</t>
  </si>
  <si>
    <t>Net Annual Benefit</t>
  </si>
  <si>
    <t>Active EVs per Day</t>
  </si>
  <si>
    <t>10-YEAR FINANCIAL SUMMARY</t>
  </si>
  <si>
    <t>Total 10-Year Revenue</t>
  </si>
  <si>
    <t>Total 10-Year OpEx</t>
  </si>
  <si>
    <t>Net 10-Year Profit</t>
  </si>
  <si>
    <t>Simple Payback Period (years)</t>
  </si>
  <si>
    <t>Return on Investment</t>
  </si>
  <si>
    <t>Breakeven Year</t>
  </si>
  <si>
    <t>EV Charging Infrastructure - Financial Feasibility Analysis</t>
  </si>
  <si>
    <t>Center for Community Energy | California Model</t>
  </si>
  <si>
    <t>PURPOSE</t>
  </si>
  <si>
    <t>Evaluate the financial viability of solar-powered bidirecitonal EV charging structures across three lot sizes, analyzing capital costs, government incentives, energy savings, 10-year returns.</t>
  </si>
  <si>
    <t>DATA SOURCES</t>
  </si>
  <si>
    <t>SDG&amp;E 2026 Rate Schedule, CALeVIP Incentive Program, U.S. Department of Energy, Center for Community Energy V2G Research</t>
  </si>
  <si>
    <t>PAYBACK PERIOD</t>
  </si>
  <si>
    <t>10-YEAR ROI</t>
  </si>
  <si>
    <t>BREAKEVEN YEAR</t>
  </si>
  <si>
    <t>*Net of CAPeVIP rebates. Consistent across all lot sizes due to proportional scaling.</t>
  </si>
  <si>
    <t>SCENARIO COMPARISON (Net of Government Rebates)</t>
  </si>
  <si>
    <t>(50 chargers)</t>
  </si>
  <si>
    <t>(200 chargers)</t>
  </si>
  <si>
    <t>(500 chargers)</t>
  </si>
  <si>
    <t>CALeVIP Rebates Received</t>
  </si>
  <si>
    <t>Annual Net Benefit</t>
  </si>
  <si>
    <t>Break-Even Year</t>
  </si>
  <si>
    <t>KEY TAKEAWAY</t>
  </si>
  <si>
    <t xml:space="preserve">All three scenarios demonstrate strong financial viability with a payback period under 2 years and a 10-year ROI of approximately 299%. The CALeVIP rebate progrm reduces upfront capital requirements by 55%, making solar bidirectional EV charging infrastructure highly attractive for commercial parking operators in Californa. </t>
  </si>
  <si>
    <t xml:space="preserve">Analysis based on SDG&amp;E 2026 peak rate of 40.697/kWh and CALeVIP Level 2 rebate of up to $6000 per charger. Assumes 65% EV adoption rate and 85% round-trip charging efficiency. </t>
  </si>
  <si>
    <t>SENSITIVITY ANALYSIS - Medium Lot Net 10-Year Profit</t>
  </si>
  <si>
    <t>Output Cell (Med Lot Net 10-Year Profit)</t>
  </si>
  <si>
    <t>V2G Export Rate (SDG&amp;E Dynamic Export)</t>
  </si>
  <si>
    <t>EV Adoption Rate:</t>
  </si>
  <si>
    <t>SENSITIVITY ANALYSIS: Medium Lot - Net 10-Year Profit</t>
  </si>
  <si>
    <t>NTM Forecast - EV Charging Infrastructure (Medium Lot, 200 Chargers)</t>
  </si>
  <si>
    <t>Next 12 Months | Forecast vs. Simulated Actuals | Variance Analysis</t>
  </si>
  <si>
    <t>Month</t>
  </si>
  <si>
    <t>Variance ($)</t>
  </si>
  <si>
    <t>Variance (%)</t>
  </si>
  <si>
    <t>Within 5%?</t>
  </si>
  <si>
    <t>Average Days per Month</t>
  </si>
  <si>
    <t>Total Forecasted Annual Benefit</t>
  </si>
  <si>
    <t>Total Simulated Actual Benefit</t>
  </si>
  <si>
    <t>Total Annual Variance ($)</t>
  </si>
  <si>
    <t>Average Monthly Variance (%)</t>
  </si>
  <si>
    <t>Max Monthly Variance (%)</t>
  </si>
  <si>
    <t>All Months Within 5%?</t>
  </si>
  <si>
    <t>NTM SUMMARY</t>
  </si>
  <si>
    <t xml:space="preserve">Forecast </t>
  </si>
  <si>
    <t>V2G Revenue</t>
  </si>
  <si>
    <t>Solar Cost</t>
  </si>
  <si>
    <t>Net Benefit</t>
  </si>
  <si>
    <t>Simulated Benefit</t>
  </si>
  <si>
    <t>Actuals</t>
  </si>
  <si>
    <t>Upper 5%</t>
  </si>
  <si>
    <t>Lower 5%</t>
  </si>
  <si>
    <t>Chart Helper</t>
  </si>
  <si>
    <t>Scenario</t>
  </si>
  <si>
    <t>Chargers</t>
  </si>
  <si>
    <t>Net Capital ($)</t>
  </si>
  <si>
    <t>CALeVIP Rebate ($)</t>
  </si>
  <si>
    <t>Annual Net Benefit ($)</t>
  </si>
  <si>
    <t>10-Yr Revenue ($)</t>
  </si>
  <si>
    <t>10-Yr OpEx ($)</t>
  </si>
  <si>
    <t>10-Yr Profit ($)</t>
  </si>
  <si>
    <t>Payback (yrs)</t>
  </si>
  <si>
    <t>ROI (%)</t>
  </si>
  <si>
    <t>Small Lot</t>
  </si>
  <si>
    <t>Medium Lot</t>
  </si>
  <si>
    <t>Large Lot</t>
  </si>
  <si>
    <t>Forecasted V2G Revenue ($)</t>
  </si>
  <si>
    <t>Forecasted Solar Cost ($)</t>
  </si>
  <si>
    <t>Forecasted Net Benefit ($)</t>
  </si>
  <si>
    <t>Simulated Actual ($)</t>
  </si>
  <si>
    <t>Yes</t>
  </si>
  <si>
    <t>No</t>
  </si>
  <si>
    <t>Assumption</t>
  </si>
  <si>
    <t>Value</t>
  </si>
  <si>
    <t>Unit</t>
  </si>
  <si>
    <t>On-Peak Electricity Rate</t>
  </si>
  <si>
    <t>V2G Export Rate</t>
  </si>
  <si>
    <t>Solar Generation Cost</t>
  </si>
  <si>
    <t>EV Adoption Rate</t>
  </si>
  <si>
    <t>CALeVIP Rebate per Charger</t>
  </si>
  <si>
    <t>Net Cost per Charger</t>
  </si>
  <si>
    <t>Annual OpEx per Charger</t>
  </si>
  <si>
    <t>$/yr</t>
  </si>
  <si>
    <t>Annual Escalation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</si>
</sst>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0.0"/>
    <numFmt numFmtId="166" formatCode="0.0&quot; years&quot;"/>
    <numFmt numFmtId="167" formatCode="&quot;$&quot;0.00&quot;/kWh&quot;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color rgb="FF7F7F7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3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9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medium">
        <color theme="4" tint="0.39997558519241921"/>
      </bottom>
      <diagonal/>
    </border>
  </borders>
  <cellStyleXfs count="1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6" fillId="6" borderId="0" applyNumberFormat="0" applyBorder="0" applyAlignment="0" applyProtection="0"/>
    <xf numFmtId="0" fontId="1" fillId="7" borderId="0" applyNumberFormat="0" applyBorder="0" applyAlignment="0" applyProtection="0"/>
    <xf numFmtId="0" fontId="13" fillId="0" borderId="0" applyNumberFormat="0" applyFill="0" applyBorder="0" applyAlignment="0" applyProtection="0"/>
    <xf numFmtId="0" fontId="1" fillId="8" borderId="0" applyNumberFormat="0" applyBorder="0" applyAlignment="0" applyProtection="0"/>
    <xf numFmtId="0" fontId="6" fillId="9" borderId="0" applyNumberFormat="0" applyBorder="0" applyAlignment="0" applyProtection="0"/>
  </cellStyleXfs>
  <cellXfs count="51">
    <xf numFmtId="0" fontId="0" fillId="0" borderId="0" xfId="0"/>
    <xf numFmtId="0" fontId="3" fillId="0" borderId="2" xfId="4"/>
    <xf numFmtId="0" fontId="5" fillId="0" borderId="0" xfId="0" applyFont="1"/>
    <xf numFmtId="0" fontId="5" fillId="0" borderId="0" xfId="0" applyFont="1" applyAlignment="1">
      <alignment horizontal="center"/>
    </xf>
    <xf numFmtId="44" fontId="0" fillId="0" borderId="0" xfId="1" applyFont="1"/>
    <xf numFmtId="0" fontId="5" fillId="3" borderId="0" xfId="7" applyFont="1" applyAlignment="1">
      <alignment horizontal="center"/>
    </xf>
    <xf numFmtId="0" fontId="5" fillId="7" borderId="0" xfId="11" applyFont="1" applyAlignment="1">
      <alignment horizontal="center"/>
    </xf>
    <xf numFmtId="0" fontId="5" fillId="4" borderId="0" xfId="8" applyFont="1" applyAlignment="1">
      <alignment horizontal="center"/>
    </xf>
    <xf numFmtId="44" fontId="0" fillId="0" borderId="0" xfId="0" applyNumberFormat="1"/>
    <xf numFmtId="164" fontId="0" fillId="0" borderId="0" xfId="2" applyNumberFormat="1" applyFont="1"/>
    <xf numFmtId="165" fontId="0" fillId="0" borderId="0" xfId="0" applyNumberFormat="1"/>
    <xf numFmtId="1" fontId="0" fillId="0" borderId="0" xfId="0" applyNumberFormat="1"/>
    <xf numFmtId="0" fontId="8" fillId="3" borderId="0" xfId="7" applyFont="1" applyAlignment="1">
      <alignment horizontal="center"/>
    </xf>
    <xf numFmtId="0" fontId="8" fillId="7" borderId="0" xfId="11" applyFont="1" applyAlignment="1">
      <alignment horizontal="center"/>
    </xf>
    <xf numFmtId="0" fontId="8" fillId="4" borderId="0" xfId="8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5" borderId="0" xfId="9"/>
    <xf numFmtId="44" fontId="4" fillId="0" borderId="0" xfId="5" applyNumberFormat="1"/>
    <xf numFmtId="2" fontId="0" fillId="0" borderId="0" xfId="0" applyNumberFormat="1"/>
    <xf numFmtId="44" fontId="1" fillId="8" borderId="4" xfId="13" applyNumberFormat="1" applyBorder="1"/>
    <xf numFmtId="167" fontId="0" fillId="0" borderId="0" xfId="0" applyNumberFormat="1"/>
    <xf numFmtId="167" fontId="1" fillId="5" borderId="0" xfId="9" applyNumberFormat="1"/>
    <xf numFmtId="2" fontId="14" fillId="0" borderId="0" xfId="0" applyNumberFormat="1" applyFont="1" applyAlignment="1">
      <alignment horizontal="right"/>
    </xf>
    <xf numFmtId="44" fontId="1" fillId="5" borderId="0" xfId="1" applyFill="1"/>
    <xf numFmtId="0" fontId="13" fillId="0" borderId="0" xfId="12"/>
    <xf numFmtId="168" fontId="0" fillId="0" borderId="0" xfId="0" applyNumberFormat="1"/>
    <xf numFmtId="0" fontId="4" fillId="0" borderId="0" xfId="5" applyBorder="1" applyAlignment="1">
      <alignment horizontal="center"/>
    </xf>
    <xf numFmtId="0" fontId="6" fillId="9" borderId="0" xfId="14" applyAlignment="1">
      <alignment horizontal="center"/>
    </xf>
    <xf numFmtId="0" fontId="2" fillId="0" borderId="0" xfId="3" applyBorder="1" applyAlignment="1">
      <alignment horizontal="center"/>
    </xf>
    <xf numFmtId="0" fontId="4" fillId="0" borderId="0" xfId="5" applyAlignment="1">
      <alignment horizontal="left"/>
    </xf>
    <xf numFmtId="0" fontId="1" fillId="8" borderId="4" xfId="13" applyBorder="1" applyAlignment="1">
      <alignment horizontal="center"/>
    </xf>
    <xf numFmtId="0" fontId="10" fillId="2" borderId="2" xfId="6" applyFont="1" applyBorder="1" applyAlignment="1">
      <alignment horizontal="center"/>
    </xf>
    <xf numFmtId="0" fontId="10" fillId="2" borderId="0" xfId="6" applyFont="1" applyAlignment="1">
      <alignment horizontal="center"/>
    </xf>
    <xf numFmtId="0" fontId="9" fillId="0" borderId="1" xfId="3" applyFont="1" applyAlignment="1">
      <alignment horizontal="center"/>
    </xf>
    <xf numFmtId="0" fontId="12" fillId="2" borderId="0" xfId="6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3" xfId="5" applyBorder="1" applyAlignment="1">
      <alignment horizontal="center"/>
    </xf>
    <xf numFmtId="0" fontId="0" fillId="0" borderId="0" xfId="0" applyAlignment="1">
      <alignment wrapText="1"/>
    </xf>
    <xf numFmtId="0" fontId="1" fillId="3" borderId="0" xfId="7" applyAlignment="1">
      <alignment wrapText="1"/>
    </xf>
    <xf numFmtId="0" fontId="11" fillId="6" borderId="0" xfId="10" applyFont="1" applyAlignment="1">
      <alignment wrapText="1"/>
    </xf>
    <xf numFmtId="166" fontId="0" fillId="0" borderId="0" xfId="0" applyNumberFormat="1" applyAlignment="1">
      <alignment horizontal="center"/>
    </xf>
    <xf numFmtId="164" fontId="0" fillId="0" borderId="0" xfId="2" applyNumberFormat="1" applyFont="1" applyAlignment="1">
      <alignment horizontal="center"/>
    </xf>
    <xf numFmtId="0" fontId="7" fillId="0" borderId="0" xfId="5" applyFont="1" applyAlignment="1">
      <alignment horizontal="left"/>
    </xf>
    <xf numFmtId="0" fontId="0" fillId="0" borderId="0" xfId="0" applyAlignment="1">
      <alignment horizontal="left"/>
    </xf>
    <xf numFmtId="0" fontId="9" fillId="0" borderId="0" xfId="3" applyFont="1" applyBorder="1" applyAlignment="1">
      <alignment horizontal="center"/>
    </xf>
    <xf numFmtId="0" fontId="4" fillId="0" borderId="0" xfId="5" applyBorder="1" applyAlignment="1">
      <alignment horizontal="center"/>
    </xf>
    <xf numFmtId="0" fontId="6" fillId="6" borderId="0" xfId="10" applyAlignment="1">
      <alignment horizontal="center"/>
    </xf>
    <xf numFmtId="6" fontId="0" fillId="0" borderId="0" xfId="0" applyNumberFormat="1"/>
    <xf numFmtId="10" fontId="0" fillId="0" borderId="0" xfId="0" applyNumberFormat="1"/>
    <xf numFmtId="8" fontId="0" fillId="0" borderId="0" xfId="0" applyNumberFormat="1"/>
    <xf numFmtId="9" fontId="0" fillId="0" borderId="0" xfId="0" applyNumberFormat="1"/>
  </cellXfs>
  <cellStyles count="15">
    <cellStyle name="20% - Accent1" xfId="7" builtinId="30"/>
    <cellStyle name="20% - Accent2" xfId="8" builtinId="34"/>
    <cellStyle name="20% - Accent4" xfId="9" builtinId="42"/>
    <cellStyle name="20% - Accent6" xfId="11" builtinId="50"/>
    <cellStyle name="40% - Accent1" xfId="13" builtinId="31"/>
    <cellStyle name="Accent1" xfId="6" builtinId="29"/>
    <cellStyle name="Accent5" xfId="10" builtinId="45"/>
    <cellStyle name="Accent6" xfId="14" builtinId="49"/>
    <cellStyle name="Currency" xfId="1" builtinId="4"/>
    <cellStyle name="Explanatory Text" xfId="5" builtinId="53"/>
    <cellStyle name="Heading 1" xfId="3" builtinId="16"/>
    <cellStyle name="Heading 2" xfId="4" builtinId="17"/>
    <cellStyle name="Heading 4" xfId="12" builtinId="19"/>
    <cellStyle name="Normal" xfId="0" builtinId="0"/>
    <cellStyle name="Percent" xfId="2" builtinId="5"/>
  </cellStyles>
  <dxfs count="2">
    <dxf>
      <font>
        <color rgb="FFC00000"/>
      </font>
      <fill>
        <patternFill>
          <bgColor rgb="FFFFDDDD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DDDD"/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NTM Forecast vs. Simulated Actuals - Medium 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94768530400045"/>
          <c:y val="0.1777019241606656"/>
          <c:w val="0.7958322098521986"/>
          <c:h val="0.72347436683896915"/>
        </c:manualLayout>
      </c:layout>
      <c:lineChart>
        <c:grouping val="standard"/>
        <c:varyColors val="0"/>
        <c:ser>
          <c:idx val="0"/>
          <c:order val="0"/>
          <c:tx>
            <c:strRef>
              <c:f>'NTM Forecast'!$A$5</c:f>
              <c:strCache>
                <c:ptCount val="1"/>
                <c:pt idx="0">
                  <c:v>Month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'NTM Forecast'!$A$6:$A$17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D4-42F8-ABA2-6E4851E9CEF2}"/>
            </c:ext>
          </c:extLst>
        </c:ser>
        <c:ser>
          <c:idx val="1"/>
          <c:order val="1"/>
          <c:tx>
            <c:strRef>
              <c:f>'NTM Forecast'!$D$5</c:f>
              <c:strCache>
                <c:ptCount val="1"/>
                <c:pt idx="0">
                  <c:v>Net Benefit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'NTM Forecast'!$D$6:$D$17</c:f>
              <c:numCache>
                <c:formatCode>General</c:formatCode>
                <c:ptCount val="12"/>
                <c:pt idx="0">
                  <c:v>51673.049999999996</c:v>
                </c:pt>
                <c:pt idx="1">
                  <c:v>51673.049999999996</c:v>
                </c:pt>
                <c:pt idx="2">
                  <c:v>51673.049999999996</c:v>
                </c:pt>
                <c:pt idx="3">
                  <c:v>51673.049999999996</c:v>
                </c:pt>
                <c:pt idx="4">
                  <c:v>51673.049999999996</c:v>
                </c:pt>
                <c:pt idx="5">
                  <c:v>51673.049999999996</c:v>
                </c:pt>
                <c:pt idx="6">
                  <c:v>51673.049999999996</c:v>
                </c:pt>
                <c:pt idx="7">
                  <c:v>51673.049999999996</c:v>
                </c:pt>
                <c:pt idx="8">
                  <c:v>51673.049999999996</c:v>
                </c:pt>
                <c:pt idx="9">
                  <c:v>51673.049999999996</c:v>
                </c:pt>
                <c:pt idx="10">
                  <c:v>51673.049999999996</c:v>
                </c:pt>
                <c:pt idx="11">
                  <c:v>51673.049999999996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4-42F8-ABA2-6E4851E9CEF2}"/>
            </c:ext>
          </c:extLst>
        </c:ser>
        <c:ser>
          <c:idx val="2"/>
          <c:order val="2"/>
          <c:tx>
            <c:strRef>
              <c:f>'NTM Forecast'!$E$5</c:f>
              <c:strCache>
                <c:ptCount val="1"/>
                <c:pt idx="0">
                  <c:v>Simulated Benefit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val>
            <c:numRef>
              <c:f>'NTM Forecast'!$E$6:$E$17</c:f>
              <c:numCache>
                <c:formatCode>General</c:formatCode>
                <c:ptCount val="12"/>
                <c:pt idx="0">
                  <c:v>53223.241499999996</c:v>
                </c:pt>
                <c:pt idx="1">
                  <c:v>50639.588999999993</c:v>
                </c:pt>
                <c:pt idx="2">
                  <c:v>54256.702499999999</c:v>
                </c:pt>
                <c:pt idx="3">
                  <c:v>51156.319499999998</c:v>
                </c:pt>
                <c:pt idx="4">
                  <c:v>52706.510999999999</c:v>
                </c:pt>
                <c:pt idx="5">
                  <c:v>50122.858499999995</c:v>
                </c:pt>
                <c:pt idx="6">
                  <c:v>52189.780499999993</c:v>
                </c:pt>
                <c:pt idx="7">
                  <c:v>48572.666999999994</c:v>
                </c:pt>
                <c:pt idx="8">
                  <c:v>52706.510999999999</c:v>
                </c:pt>
                <c:pt idx="9">
                  <c:v>51156.319499999998</c:v>
                </c:pt>
                <c:pt idx="10">
                  <c:v>53223.241499999996</c:v>
                </c:pt>
                <c:pt idx="11">
                  <c:v>50639.588999999993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D4-42F8-ABA2-6E4851E9CEF2}"/>
            </c:ext>
          </c:extLst>
        </c:ser>
        <c:ser>
          <c:idx val="3"/>
          <c:order val="3"/>
          <c:tx>
            <c:v>Upper 5%</c:v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rgbClr val="C00000"/>
                </a:solidFill>
                <a:round/>
              </a:ln>
              <a:effectLst/>
            </c:spPr>
          </c:marker>
          <c:val>
            <c:numRef>
              <c:f>'NTM Forecast'!$J$6:$J$17</c:f>
              <c:numCache>
                <c:formatCode>General</c:formatCode>
                <c:ptCount val="12"/>
                <c:pt idx="0">
                  <c:v>54256.702499999999</c:v>
                </c:pt>
                <c:pt idx="1">
                  <c:v>54256.702499999999</c:v>
                </c:pt>
                <c:pt idx="2">
                  <c:v>54256.702499999999</c:v>
                </c:pt>
                <c:pt idx="3">
                  <c:v>54256.702499999999</c:v>
                </c:pt>
                <c:pt idx="4">
                  <c:v>54256.702499999999</c:v>
                </c:pt>
                <c:pt idx="5">
                  <c:v>54256.702499999999</c:v>
                </c:pt>
                <c:pt idx="6">
                  <c:v>54256.702499999999</c:v>
                </c:pt>
                <c:pt idx="7">
                  <c:v>54256.702499999999</c:v>
                </c:pt>
                <c:pt idx="8">
                  <c:v>54256.702499999999</c:v>
                </c:pt>
                <c:pt idx="9">
                  <c:v>54256.702499999999</c:v>
                </c:pt>
                <c:pt idx="10">
                  <c:v>54256.702499999999</c:v>
                </c:pt>
                <c:pt idx="11">
                  <c:v>54256.702499999999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D4-42F8-ABA2-6E4851E9CEF2}"/>
            </c:ext>
          </c:extLst>
        </c:ser>
        <c:ser>
          <c:idx val="4"/>
          <c:order val="4"/>
          <c:tx>
            <c:v>Lower 5%</c:v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star"/>
            <c:size val="6"/>
            <c:spPr>
              <a:solidFill>
                <a:srgbClr val="C00000"/>
              </a:solidFill>
              <a:ln w="9525">
                <a:solidFill>
                  <a:srgbClr val="C00000"/>
                </a:solidFill>
                <a:round/>
              </a:ln>
              <a:effectLst/>
            </c:spPr>
          </c:marker>
          <c:val>
            <c:numRef>
              <c:f>'NTM Forecast'!$K$6:$K$17</c:f>
              <c:numCache>
                <c:formatCode>General</c:formatCode>
                <c:ptCount val="12"/>
                <c:pt idx="0">
                  <c:v>49089.397499999992</c:v>
                </c:pt>
                <c:pt idx="1">
                  <c:v>49089.397499999992</c:v>
                </c:pt>
                <c:pt idx="2">
                  <c:v>49089.397499999992</c:v>
                </c:pt>
                <c:pt idx="3">
                  <c:v>49089.397499999992</c:v>
                </c:pt>
                <c:pt idx="4">
                  <c:v>49089.397499999992</c:v>
                </c:pt>
                <c:pt idx="5">
                  <c:v>49089.397499999992</c:v>
                </c:pt>
                <c:pt idx="6">
                  <c:v>49089.397499999992</c:v>
                </c:pt>
                <c:pt idx="7">
                  <c:v>49089.397499999992</c:v>
                </c:pt>
                <c:pt idx="8">
                  <c:v>49089.397499999992</c:v>
                </c:pt>
                <c:pt idx="9">
                  <c:v>49089.397499999992</c:v>
                </c:pt>
                <c:pt idx="10">
                  <c:v>49089.397499999992</c:v>
                </c:pt>
                <c:pt idx="11">
                  <c:v>49089.397499999992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D4-42F8-ABA2-6E4851E9C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702304"/>
        <c:axId val="2038688384"/>
      </c:lineChart>
      <c:catAx>
        <c:axId val="203870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688384"/>
        <c:crosses val="autoZero"/>
        <c:auto val="1"/>
        <c:lblAlgn val="ctr"/>
        <c:lblOffset val="100"/>
        <c:noMultiLvlLbl val="0"/>
      </c:catAx>
      <c:valAx>
        <c:axId val="2038688384"/>
        <c:scaling>
          <c:orientation val="minMax"/>
          <c:max val="55000"/>
          <c:min val="47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Benefit ($)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70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550814374927583"/>
          <c:y val="9.12253075983714E-2"/>
          <c:w val="0.69564329890245236"/>
          <c:h val="5.75906381958727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8575" cap="flat" cmpd="sng" algn="ctr">
      <a:solidFill>
        <a:schemeClr val="bg2">
          <a:lumMod val="2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315591</xdr:colOff>
      <xdr:row>27</xdr:row>
      <xdr:rowOff>3920</xdr:rowOff>
    </xdr:from>
    <xdr:to>
      <xdr:col>7</xdr:col>
      <xdr:colOff>738187</xdr:colOff>
      <xdr:row>51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186ACA-8329-2B78-4531-9C1B69953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A240-91FD-47C5-A37A-38CBE80B9334}">
  <dimension ref="A1:F49"/>
  <sheetViews>
    <sheetView zoomScale="94" workbookViewId="0">
      <selection activeCell="B42" sqref="B42"/>
    </sheetView>
  </sheetViews>
  <sheetFormatPr defaultRowHeight="14.4" x14ac:dyDescent="0.3"/>
  <cols>
    <col min="1" max="1" width="39.77734375" bestFit="1" customWidth="1"/>
    <col min="2" max="2" width="17.6640625" bestFit="1" customWidth="1"/>
    <col min="3" max="6" width="14.44140625" bestFit="1" customWidth="1"/>
  </cols>
  <sheetData>
    <row r="1" spans="1:5" ht="19.8" x14ac:dyDescent="0.4">
      <c r="A1" s="28" t="s">
        <v>0</v>
      </c>
      <c r="B1" s="28"/>
      <c r="C1" s="28"/>
    </row>
    <row r="3" spans="1:5" x14ac:dyDescent="0.3">
      <c r="A3" s="29" t="s">
        <v>1</v>
      </c>
      <c r="B3" s="29"/>
    </row>
    <row r="4" spans="1:5" x14ac:dyDescent="0.3">
      <c r="E4" s="17" t="s">
        <v>99</v>
      </c>
    </row>
    <row r="5" spans="1:5" ht="18" thickBot="1" x14ac:dyDescent="0.4">
      <c r="A5" s="1" t="s">
        <v>2</v>
      </c>
      <c r="B5" s="1"/>
      <c r="C5" s="1"/>
      <c r="E5" s="8">
        <f>Model!E25-Model!E26-Model!E27</f>
        <v>2992264.9737640023</v>
      </c>
    </row>
    <row r="6" spans="1:5" ht="15" thickTop="1" x14ac:dyDescent="0.3">
      <c r="A6" t="s">
        <v>3</v>
      </c>
      <c r="B6">
        <v>0.69699999999999995</v>
      </c>
      <c r="C6" t="s">
        <v>4</v>
      </c>
    </row>
    <row r="7" spans="1:5" x14ac:dyDescent="0.3">
      <c r="A7" t="s">
        <v>5</v>
      </c>
      <c r="B7">
        <v>0.46700000000000003</v>
      </c>
      <c r="C7" t="s">
        <v>4</v>
      </c>
    </row>
    <row r="8" spans="1:5" x14ac:dyDescent="0.3">
      <c r="A8" t="s">
        <v>6</v>
      </c>
      <c r="B8">
        <v>0.38800000000000001</v>
      </c>
      <c r="C8" t="s">
        <v>4</v>
      </c>
    </row>
    <row r="9" spans="1:5" x14ac:dyDescent="0.3">
      <c r="A9" t="s">
        <v>7</v>
      </c>
      <c r="B9">
        <v>0.08</v>
      </c>
      <c r="C9" t="s">
        <v>4</v>
      </c>
    </row>
    <row r="10" spans="1:5" x14ac:dyDescent="0.3">
      <c r="A10" t="s">
        <v>100</v>
      </c>
      <c r="B10">
        <v>0.45</v>
      </c>
      <c r="C10" t="s">
        <v>4</v>
      </c>
    </row>
    <row r="12" spans="1:5" ht="18" thickBot="1" x14ac:dyDescent="0.4">
      <c r="A12" s="1" t="s">
        <v>8</v>
      </c>
      <c r="B12" s="1"/>
      <c r="C12" s="1"/>
    </row>
    <row r="13" spans="1:5" ht="15" thickTop="1" x14ac:dyDescent="0.3">
      <c r="A13" t="s">
        <v>9</v>
      </c>
      <c r="B13" t="s">
        <v>15</v>
      </c>
      <c r="C13" t="s">
        <v>16</v>
      </c>
    </row>
    <row r="14" spans="1:5" x14ac:dyDescent="0.3">
      <c r="A14" t="s">
        <v>10</v>
      </c>
      <c r="B14">
        <v>7.2</v>
      </c>
      <c r="C14" t="s">
        <v>17</v>
      </c>
    </row>
    <row r="15" spans="1:5" x14ac:dyDescent="0.3">
      <c r="A15" t="s">
        <v>13</v>
      </c>
      <c r="B15">
        <v>6</v>
      </c>
      <c r="C15" t="s">
        <v>18</v>
      </c>
    </row>
    <row r="16" spans="1:5" x14ac:dyDescent="0.3">
      <c r="A16" t="s">
        <v>11</v>
      </c>
      <c r="B16">
        <v>3</v>
      </c>
      <c r="C16" t="s">
        <v>18</v>
      </c>
    </row>
    <row r="17" spans="1:3" x14ac:dyDescent="0.3">
      <c r="A17" t="s">
        <v>12</v>
      </c>
      <c r="B17">
        <v>75</v>
      </c>
      <c r="C17" t="s">
        <v>19</v>
      </c>
    </row>
    <row r="18" spans="1:3" x14ac:dyDescent="0.3">
      <c r="A18" t="s">
        <v>14</v>
      </c>
      <c r="B18">
        <v>0.85</v>
      </c>
      <c r="C18" t="s">
        <v>20</v>
      </c>
    </row>
    <row r="20" spans="1:3" ht="18" thickBot="1" x14ac:dyDescent="0.4">
      <c r="A20" s="1" t="s">
        <v>21</v>
      </c>
      <c r="B20" s="1"/>
      <c r="C20" s="1"/>
    </row>
    <row r="21" spans="1:3" ht="15" thickTop="1" x14ac:dyDescent="0.3">
      <c r="A21" t="s">
        <v>22</v>
      </c>
      <c r="B21">
        <v>3500</v>
      </c>
      <c r="C21" t="s">
        <v>28</v>
      </c>
    </row>
    <row r="22" spans="1:3" x14ac:dyDescent="0.3">
      <c r="A22" t="s">
        <v>23</v>
      </c>
      <c r="B22">
        <v>3000</v>
      </c>
      <c r="C22" t="s">
        <v>28</v>
      </c>
    </row>
    <row r="23" spans="1:3" x14ac:dyDescent="0.3">
      <c r="A23" t="s">
        <v>24</v>
      </c>
      <c r="B23">
        <v>4500</v>
      </c>
      <c r="C23" t="s">
        <v>28</v>
      </c>
    </row>
    <row r="24" spans="1:3" x14ac:dyDescent="0.3">
      <c r="A24" t="s">
        <v>25</v>
      </c>
      <c r="B24">
        <f>B21+B22+B23</f>
        <v>11000</v>
      </c>
      <c r="C24" t="s">
        <v>28</v>
      </c>
    </row>
    <row r="25" spans="1:3" x14ac:dyDescent="0.3">
      <c r="A25" t="s">
        <v>26</v>
      </c>
      <c r="B25">
        <f>MIN(B24*0.75, 6000)</f>
        <v>6000</v>
      </c>
      <c r="C25" t="s">
        <v>28</v>
      </c>
    </row>
    <row r="26" spans="1:3" x14ac:dyDescent="0.3">
      <c r="A26" t="s">
        <v>27</v>
      </c>
      <c r="B26">
        <f>B24-B25</f>
        <v>5000</v>
      </c>
      <c r="C26" t="s">
        <v>28</v>
      </c>
    </row>
    <row r="28" spans="1:3" ht="18" thickBot="1" x14ac:dyDescent="0.4">
      <c r="A28" s="1" t="s">
        <v>29</v>
      </c>
      <c r="B28" s="1"/>
      <c r="C28" s="1"/>
    </row>
    <row r="29" spans="1:3" ht="15" thickTop="1" x14ac:dyDescent="0.3">
      <c r="A29" t="s">
        <v>30</v>
      </c>
      <c r="B29">
        <v>200</v>
      </c>
      <c r="C29" t="s">
        <v>33</v>
      </c>
    </row>
    <row r="30" spans="1:3" x14ac:dyDescent="0.3">
      <c r="A30" t="s">
        <v>31</v>
      </c>
      <c r="B30">
        <v>150</v>
      </c>
      <c r="C30" t="s">
        <v>33</v>
      </c>
    </row>
    <row r="31" spans="1:3" x14ac:dyDescent="0.3">
      <c r="A31" t="s">
        <v>32</v>
      </c>
      <c r="B31">
        <f>B29+B30</f>
        <v>350</v>
      </c>
      <c r="C31" t="s">
        <v>33</v>
      </c>
    </row>
    <row r="33" spans="1:6" ht="18" thickBot="1" x14ac:dyDescent="0.4">
      <c r="A33" s="1" t="s">
        <v>34</v>
      </c>
      <c r="B33" s="1"/>
      <c r="C33" s="1"/>
    </row>
    <row r="34" spans="1:6" ht="15" thickTop="1" x14ac:dyDescent="0.3">
      <c r="A34" t="s">
        <v>35</v>
      </c>
      <c r="B34">
        <v>50</v>
      </c>
      <c r="C34" t="s">
        <v>39</v>
      </c>
    </row>
    <row r="35" spans="1:6" x14ac:dyDescent="0.3">
      <c r="A35" t="s">
        <v>36</v>
      </c>
      <c r="B35">
        <v>200</v>
      </c>
      <c r="C35" t="s">
        <v>39</v>
      </c>
    </row>
    <row r="36" spans="1:6" x14ac:dyDescent="0.3">
      <c r="A36" t="s">
        <v>37</v>
      </c>
      <c r="B36">
        <v>500</v>
      </c>
      <c r="C36" t="s">
        <v>39</v>
      </c>
    </row>
    <row r="37" spans="1:6" x14ac:dyDescent="0.3">
      <c r="A37" t="s">
        <v>38</v>
      </c>
      <c r="B37">
        <v>0.65</v>
      </c>
      <c r="C37" t="s">
        <v>20</v>
      </c>
    </row>
    <row r="39" spans="1:6" ht="18" thickBot="1" x14ac:dyDescent="0.4">
      <c r="A39" s="1" t="s">
        <v>40</v>
      </c>
      <c r="B39" s="1"/>
      <c r="C39" s="1"/>
    </row>
    <row r="40" spans="1:6" ht="15" thickTop="1" x14ac:dyDescent="0.3">
      <c r="A40" t="s">
        <v>41</v>
      </c>
      <c r="B40">
        <v>10</v>
      </c>
      <c r="C40" t="s">
        <v>43</v>
      </c>
    </row>
    <row r="41" spans="1:6" x14ac:dyDescent="0.3">
      <c r="A41" t="s">
        <v>42</v>
      </c>
      <c r="B41">
        <v>0.03</v>
      </c>
      <c r="C41" t="s">
        <v>44</v>
      </c>
    </row>
    <row r="42" spans="1:6" x14ac:dyDescent="0.3">
      <c r="A42" t="s">
        <v>109</v>
      </c>
      <c r="B42" s="25">
        <f>365/12</f>
        <v>30.416666666666668</v>
      </c>
    </row>
    <row r="43" spans="1:6" ht="15" thickBot="1" x14ac:dyDescent="0.35">
      <c r="A43" s="30" t="s">
        <v>98</v>
      </c>
      <c r="B43" s="30"/>
      <c r="C43" s="30"/>
      <c r="D43" s="30"/>
      <c r="E43" s="30"/>
      <c r="F43" s="30"/>
    </row>
    <row r="44" spans="1:6" ht="15" thickBot="1" x14ac:dyDescent="0.35">
      <c r="A44" s="19">
        <f>((B35*B37*B14*B15*B18*B10-B35*B37*B14*B15*B9)*365-B31*B35)*((1-(1+B41)^-B40)/B41)-B35*B26-B31*B35*B40</f>
        <v>2992264.9737640023</v>
      </c>
      <c r="B44">
        <v>0.4</v>
      </c>
      <c r="C44">
        <v>0.5</v>
      </c>
      <c r="D44" s="16">
        <v>0.65</v>
      </c>
      <c r="E44">
        <v>0.75</v>
      </c>
      <c r="F44">
        <v>0.85</v>
      </c>
    </row>
    <row r="45" spans="1:6" x14ac:dyDescent="0.3">
      <c r="A45">
        <v>0.25</v>
      </c>
      <c r="B45" s="4">
        <f t="dataTable" ref="B45:F49" dt2D="1" dtr="1" r1="B37" r2="B10"/>
        <v>-871369.27227332676</v>
      </c>
      <c r="C45" s="4">
        <v>-514933.04069808125</v>
      </c>
      <c r="D45" s="4">
        <v>19721.306664786534</v>
      </c>
      <c r="E45" s="4">
        <v>376157.53824003204</v>
      </c>
      <c r="F45" s="4">
        <v>732593.76981527684</v>
      </c>
    </row>
    <row r="46" spans="1:6" x14ac:dyDescent="0.3">
      <c r="A46">
        <v>0.35</v>
      </c>
      <c r="B46" s="4">
        <v>43259.548372585559</v>
      </c>
      <c r="C46" s="4">
        <v>628352.98510930873</v>
      </c>
      <c r="D46" s="4">
        <v>1505993.1402143938</v>
      </c>
      <c r="E46" s="4">
        <v>2091086.5769511187</v>
      </c>
      <c r="F46" s="4">
        <v>2676180.0136878407</v>
      </c>
    </row>
    <row r="47" spans="1:6" x14ac:dyDescent="0.3">
      <c r="A47" s="16">
        <v>0.45</v>
      </c>
      <c r="B47" s="4">
        <v>957888.36901849881</v>
      </c>
      <c r="C47" s="4">
        <v>1771639.0109167006</v>
      </c>
      <c r="D47" s="4">
        <v>2992264.9737640023</v>
      </c>
      <c r="E47" s="4">
        <v>3806015.6156622032</v>
      </c>
      <c r="F47" s="4">
        <v>4619766.2575604059</v>
      </c>
    </row>
    <row r="48" spans="1:6" x14ac:dyDescent="0.3">
      <c r="A48">
        <v>0.55000000000000004</v>
      </c>
      <c r="B48" s="4">
        <v>1872517.1896644109</v>
      </c>
      <c r="C48" s="4">
        <v>2914925.0367240906</v>
      </c>
      <c r="D48" s="4">
        <v>4478536.8073136099</v>
      </c>
      <c r="E48" s="4">
        <v>5520944.65437329</v>
      </c>
      <c r="F48" s="4">
        <v>6563352.5014329711</v>
      </c>
    </row>
    <row r="49" spans="1:6" x14ac:dyDescent="0.3">
      <c r="A49">
        <v>0.65</v>
      </c>
      <c r="B49" s="4">
        <v>2787146.0103103239</v>
      </c>
      <c r="C49" s="4">
        <v>4058211.0625314824</v>
      </c>
      <c r="D49" s="4">
        <v>5964808.6408632165</v>
      </c>
      <c r="E49" s="4">
        <v>7235873.6930843759</v>
      </c>
      <c r="F49" s="4">
        <v>8506938.7453055345</v>
      </c>
    </row>
  </sheetData>
  <mergeCells count="3">
    <mergeCell ref="A1:C1"/>
    <mergeCell ref="A3:B3"/>
    <mergeCell ref="A43:F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66FDF-56C3-48B5-AE90-C90828000328}">
  <dimension ref="A1:G31"/>
  <sheetViews>
    <sheetView zoomScale="70" workbookViewId="0">
      <selection activeCell="E31" sqref="E31"/>
    </sheetView>
  </sheetViews>
  <sheetFormatPr defaultColWidth="11" defaultRowHeight="14.4" x14ac:dyDescent="0.3"/>
  <cols>
    <col min="1" max="1" width="45.33203125" bestFit="1" customWidth="1"/>
    <col min="2" max="2" width="15.33203125" bestFit="1" customWidth="1"/>
    <col min="3" max="3" width="15.77734375" bestFit="1" customWidth="1"/>
    <col min="4" max="4" width="15.33203125" bestFit="1" customWidth="1"/>
    <col min="5" max="5" width="15.77734375" bestFit="1" customWidth="1"/>
    <col min="6" max="6" width="15.33203125" bestFit="1" customWidth="1"/>
    <col min="7" max="7" width="15.77734375" bestFit="1" customWidth="1"/>
  </cols>
  <sheetData>
    <row r="1" spans="1:7" ht="21.6" thickBot="1" x14ac:dyDescent="0.45">
      <c r="A1" s="33" t="s">
        <v>45</v>
      </c>
      <c r="B1" s="33"/>
      <c r="C1" s="33"/>
      <c r="D1" s="33"/>
      <c r="E1" s="33"/>
      <c r="F1" s="33"/>
      <c r="G1" s="33"/>
    </row>
    <row r="2" spans="1:7" ht="15" thickTop="1" x14ac:dyDescent="0.3"/>
    <row r="3" spans="1:7" x14ac:dyDescent="0.3">
      <c r="A3" s="29" t="s">
        <v>46</v>
      </c>
      <c r="B3" s="29"/>
      <c r="C3" s="29"/>
      <c r="D3" s="29"/>
      <c r="E3" s="29"/>
      <c r="F3" s="29"/>
    </row>
    <row r="5" spans="1:7" x14ac:dyDescent="0.3">
      <c r="A5" s="2" t="s">
        <v>47</v>
      </c>
      <c r="B5" s="5" t="s">
        <v>48</v>
      </c>
      <c r="C5" s="5" t="s">
        <v>48</v>
      </c>
      <c r="D5" s="6" t="s">
        <v>49</v>
      </c>
      <c r="E5" s="6" t="s">
        <v>49</v>
      </c>
      <c r="F5" s="7" t="s">
        <v>50</v>
      </c>
      <c r="G5" s="7" t="s">
        <v>50</v>
      </c>
    </row>
    <row r="6" spans="1:7" x14ac:dyDescent="0.3">
      <c r="A6" s="2" t="s">
        <v>51</v>
      </c>
      <c r="B6" s="3" t="s">
        <v>52</v>
      </c>
      <c r="C6" s="3" t="s">
        <v>53</v>
      </c>
      <c r="D6" s="3" t="s">
        <v>52</v>
      </c>
      <c r="E6" s="3" t="s">
        <v>53</v>
      </c>
      <c r="F6" s="3" t="s">
        <v>52</v>
      </c>
      <c r="G6" s="3" t="s">
        <v>53</v>
      </c>
    </row>
    <row r="7" spans="1:7" ht="17.399999999999999" x14ac:dyDescent="0.35">
      <c r="A7" s="32" t="s">
        <v>54</v>
      </c>
      <c r="B7" s="32"/>
      <c r="C7" s="32"/>
      <c r="D7" s="32"/>
      <c r="E7" s="32"/>
      <c r="F7" s="32"/>
      <c r="G7" s="32"/>
    </row>
    <row r="8" spans="1:7" x14ac:dyDescent="0.3">
      <c r="A8" t="s">
        <v>55</v>
      </c>
      <c r="B8">
        <f>Assumptions!B34</f>
        <v>50</v>
      </c>
      <c r="C8">
        <f>Assumptions!B34</f>
        <v>50</v>
      </c>
      <c r="D8">
        <f>Assumptions!B35</f>
        <v>200</v>
      </c>
      <c r="E8">
        <f>Assumptions!B35</f>
        <v>200</v>
      </c>
      <c r="F8">
        <f>Assumptions!B36</f>
        <v>500</v>
      </c>
      <c r="G8">
        <f>Assumptions!B36</f>
        <v>500</v>
      </c>
    </row>
    <row r="9" spans="1:7" x14ac:dyDescent="0.3">
      <c r="A9" t="s">
        <v>56</v>
      </c>
      <c r="B9">
        <f>Assumptions!B24</f>
        <v>11000</v>
      </c>
      <c r="C9">
        <f>Assumptions!B26</f>
        <v>5000</v>
      </c>
      <c r="D9">
        <f>Assumptions!B24</f>
        <v>11000</v>
      </c>
      <c r="E9">
        <f>Assumptions!B26</f>
        <v>5000</v>
      </c>
      <c r="F9">
        <f>Assumptions!B24</f>
        <v>11000</v>
      </c>
      <c r="G9">
        <f>Assumptions!B26</f>
        <v>5000</v>
      </c>
    </row>
    <row r="10" spans="1:7" s="4" customFormat="1" x14ac:dyDescent="0.3">
      <c r="A10" s="4" t="s">
        <v>57</v>
      </c>
      <c r="B10" s="4">
        <f>B8*B9</f>
        <v>550000</v>
      </c>
      <c r="C10" s="4">
        <f t="shared" ref="C10:G10" si="0">C8*C9</f>
        <v>250000</v>
      </c>
      <c r="D10" s="4">
        <f t="shared" si="0"/>
        <v>2200000</v>
      </c>
      <c r="E10" s="4">
        <f t="shared" si="0"/>
        <v>1000000</v>
      </c>
      <c r="F10" s="4">
        <f t="shared" si="0"/>
        <v>5500000</v>
      </c>
      <c r="G10" s="4">
        <f t="shared" si="0"/>
        <v>2500000</v>
      </c>
    </row>
    <row r="11" spans="1:7" x14ac:dyDescent="0.3">
      <c r="A11" t="s">
        <v>58</v>
      </c>
      <c r="B11" t="s">
        <v>16</v>
      </c>
      <c r="C11">
        <f>Assumptions!B25*Model!C8</f>
        <v>300000</v>
      </c>
      <c r="D11" t="s">
        <v>16</v>
      </c>
      <c r="E11">
        <f>Assumptions!B25*Model!E8</f>
        <v>1200000</v>
      </c>
      <c r="F11" t="s">
        <v>16</v>
      </c>
      <c r="G11">
        <f>Assumptions!B25*Model!G8</f>
        <v>3000000</v>
      </c>
    </row>
    <row r="12" spans="1:7" s="4" customFormat="1" x14ac:dyDescent="0.3">
      <c r="A12" s="4" t="s">
        <v>59</v>
      </c>
      <c r="B12" s="4">
        <f>B10</f>
        <v>550000</v>
      </c>
      <c r="C12" s="4">
        <f>C8*Assumptions!B26</f>
        <v>250000</v>
      </c>
      <c r="D12" s="4">
        <f>D10</f>
        <v>2200000</v>
      </c>
      <c r="E12" s="4">
        <f>E8*Assumptions!B26</f>
        <v>1000000</v>
      </c>
      <c r="F12" s="4">
        <f>F10</f>
        <v>5500000</v>
      </c>
      <c r="G12" s="4">
        <f>G8*Assumptions!B26</f>
        <v>2500000</v>
      </c>
    </row>
    <row r="13" spans="1:7" ht="18" thickBot="1" x14ac:dyDescent="0.4">
      <c r="A13" s="31" t="s">
        <v>60</v>
      </c>
      <c r="B13" s="31"/>
      <c r="C13" s="31"/>
      <c r="D13" s="31"/>
      <c r="E13" s="31"/>
      <c r="F13" s="31"/>
      <c r="G13" s="31"/>
    </row>
    <row r="14" spans="1:7" ht="15" thickTop="1" x14ac:dyDescent="0.3">
      <c r="A14" t="s">
        <v>70</v>
      </c>
      <c r="B14">
        <f>Assumptions!B34*Assumptions!B37</f>
        <v>32.5</v>
      </c>
      <c r="C14">
        <f>Assumptions!B34*Assumptions!B37</f>
        <v>32.5</v>
      </c>
      <c r="D14">
        <f>Assumptions!B35*Assumptions!B37</f>
        <v>130</v>
      </c>
      <c r="E14">
        <f>Assumptions!B35*Assumptions!B37</f>
        <v>130</v>
      </c>
      <c r="F14">
        <f>Assumptions!B36*Assumptions!B37</f>
        <v>325</v>
      </c>
      <c r="G14">
        <f>Assumptions!B36*Assumptions!B37</f>
        <v>325</v>
      </c>
    </row>
    <row r="15" spans="1:7" x14ac:dyDescent="0.3">
      <c r="A15" t="s">
        <v>61</v>
      </c>
      <c r="B15">
        <f>B14*Assumptions!$B$14*Assumptions!$B$15</f>
        <v>1404</v>
      </c>
      <c r="C15">
        <f>C14*Assumptions!$B$14*Assumptions!$B$15</f>
        <v>1404</v>
      </c>
      <c r="D15">
        <f>D14*Assumptions!$B$14*Assumptions!$B$15</f>
        <v>5616</v>
      </c>
      <c r="E15">
        <f>E14*Assumptions!$B$14*Assumptions!$B$15</f>
        <v>5616</v>
      </c>
      <c r="F15">
        <f>F14*Assumptions!$B$14*Assumptions!$B$15</f>
        <v>14040</v>
      </c>
      <c r="G15">
        <f>G14*Assumptions!$B$14*Assumptions!$B$15</f>
        <v>14040</v>
      </c>
    </row>
    <row r="16" spans="1:7" x14ac:dyDescent="0.3">
      <c r="A16" t="s">
        <v>62</v>
      </c>
      <c r="B16">
        <f>B15*Assumptions!$B$18</f>
        <v>1193.3999999999999</v>
      </c>
      <c r="C16">
        <f>C15*Assumptions!$B$18</f>
        <v>1193.3999999999999</v>
      </c>
      <c r="D16">
        <f>D15*Assumptions!$B$18</f>
        <v>4773.5999999999995</v>
      </c>
      <c r="E16">
        <f>E15*Assumptions!$B$18</f>
        <v>4773.5999999999995</v>
      </c>
      <c r="F16">
        <f>F15*Assumptions!$B$18</f>
        <v>11934</v>
      </c>
      <c r="G16">
        <f>G15*Assumptions!$B$18</f>
        <v>11934</v>
      </c>
    </row>
    <row r="17" spans="1:7" x14ac:dyDescent="0.3">
      <c r="A17" t="s">
        <v>63</v>
      </c>
      <c r="B17">
        <f>Assumptions!B16</f>
        <v>3</v>
      </c>
      <c r="C17">
        <f>Assumptions!B16</f>
        <v>3</v>
      </c>
      <c r="D17">
        <f>Assumptions!B16</f>
        <v>3</v>
      </c>
      <c r="E17">
        <f>Assumptions!B16</f>
        <v>3</v>
      </c>
      <c r="F17">
        <f>Assumptions!B16</f>
        <v>3</v>
      </c>
      <c r="G17">
        <f>Assumptions!B16</f>
        <v>3</v>
      </c>
    </row>
    <row r="18" spans="1:7" x14ac:dyDescent="0.3">
      <c r="A18" t="s">
        <v>64</v>
      </c>
      <c r="B18">
        <f>B16*Assumptions!$B$10</f>
        <v>537.03</v>
      </c>
      <c r="C18">
        <f>C16*Assumptions!$B$10</f>
        <v>537.03</v>
      </c>
      <c r="D18">
        <f>D16*Assumptions!$B$10</f>
        <v>2148.12</v>
      </c>
      <c r="E18">
        <f>E16*Assumptions!$B$10</f>
        <v>2148.12</v>
      </c>
      <c r="F18">
        <f>F16*Assumptions!$B$10</f>
        <v>5370.3</v>
      </c>
      <c r="G18">
        <f>G16*Assumptions!$B$10</f>
        <v>5370.3</v>
      </c>
    </row>
    <row r="19" spans="1:7" x14ac:dyDescent="0.3">
      <c r="A19" t="s">
        <v>65</v>
      </c>
      <c r="B19">
        <f>B15*Assumptions!$B$9</f>
        <v>112.32000000000001</v>
      </c>
      <c r="C19">
        <f>C15*Assumptions!$B$9</f>
        <v>112.32000000000001</v>
      </c>
      <c r="D19">
        <f>D15*Assumptions!$B$9</f>
        <v>449.28000000000003</v>
      </c>
      <c r="E19">
        <f>E15*Assumptions!$B$9</f>
        <v>449.28000000000003</v>
      </c>
      <c r="F19">
        <f>F15*Assumptions!$B$9</f>
        <v>1123.2</v>
      </c>
      <c r="G19">
        <f>G15*Assumptions!$B$9</f>
        <v>1123.2</v>
      </c>
    </row>
    <row r="20" spans="1:7" x14ac:dyDescent="0.3">
      <c r="A20" t="s">
        <v>66</v>
      </c>
      <c r="B20">
        <f>B18-B19</f>
        <v>424.71</v>
      </c>
      <c r="C20">
        <f t="shared" ref="C20:G20" si="1">C18-C19</f>
        <v>424.71</v>
      </c>
      <c r="D20">
        <f t="shared" si="1"/>
        <v>1698.84</v>
      </c>
      <c r="E20">
        <f t="shared" si="1"/>
        <v>1698.84</v>
      </c>
      <c r="F20">
        <f t="shared" si="1"/>
        <v>4247.1000000000004</v>
      </c>
      <c r="G20">
        <f t="shared" si="1"/>
        <v>4247.1000000000004</v>
      </c>
    </row>
    <row r="21" spans="1:7" x14ac:dyDescent="0.3">
      <c r="A21" t="s">
        <v>67</v>
      </c>
      <c r="B21">
        <f>B20*365</f>
        <v>155019.15</v>
      </c>
      <c r="C21">
        <f t="shared" ref="C21:G21" si="2">C20*365</f>
        <v>155019.15</v>
      </c>
      <c r="D21">
        <f t="shared" si="2"/>
        <v>620076.6</v>
      </c>
      <c r="E21">
        <f t="shared" si="2"/>
        <v>620076.6</v>
      </c>
      <c r="F21">
        <f t="shared" si="2"/>
        <v>1550191.5000000002</v>
      </c>
      <c r="G21">
        <f t="shared" si="2"/>
        <v>1550191.5000000002</v>
      </c>
    </row>
    <row r="22" spans="1:7" x14ac:dyDescent="0.3">
      <c r="A22" t="s">
        <v>68</v>
      </c>
      <c r="B22">
        <f>Assumptions!B31*Assumptions!B34</f>
        <v>17500</v>
      </c>
      <c r="C22">
        <f>Assumptions!B31*Assumptions!B34</f>
        <v>17500</v>
      </c>
      <c r="D22">
        <f>Assumptions!B31*Assumptions!B35</f>
        <v>70000</v>
      </c>
      <c r="E22">
        <f>Assumptions!B31*Assumptions!B35</f>
        <v>70000</v>
      </c>
      <c r="F22">
        <f>Assumptions!B31*Assumptions!B36</f>
        <v>175000</v>
      </c>
      <c r="G22">
        <f>Assumptions!B31*Assumptions!B36</f>
        <v>175000</v>
      </c>
    </row>
    <row r="23" spans="1:7" x14ac:dyDescent="0.3">
      <c r="A23" t="s">
        <v>69</v>
      </c>
      <c r="B23">
        <f>B21-B22</f>
        <v>137519.15</v>
      </c>
      <c r="C23">
        <f t="shared" ref="C23:G23" si="3">C21-C22</f>
        <v>137519.15</v>
      </c>
      <c r="D23">
        <f t="shared" si="3"/>
        <v>550076.6</v>
      </c>
      <c r="E23">
        <f t="shared" si="3"/>
        <v>550076.6</v>
      </c>
      <c r="F23">
        <f t="shared" si="3"/>
        <v>1375191.5000000002</v>
      </c>
      <c r="G23">
        <f t="shared" si="3"/>
        <v>1375191.5000000002</v>
      </c>
    </row>
    <row r="24" spans="1:7" ht="18" thickBot="1" x14ac:dyDescent="0.4">
      <c r="A24" s="31" t="s">
        <v>71</v>
      </c>
      <c r="B24" s="31"/>
      <c r="C24" s="31"/>
      <c r="D24" s="31"/>
      <c r="E24" s="31"/>
      <c r="F24" s="31"/>
      <c r="G24" s="31"/>
    </row>
    <row r="25" spans="1:7" ht="15" thickTop="1" x14ac:dyDescent="0.3">
      <c r="A25" t="s">
        <v>72</v>
      </c>
      <c r="B25">
        <f>B23*((1-(1+Assumptions!B41)^-Assumptions!B40)/Assumptions!B41)</f>
        <v>1173066.2434410006</v>
      </c>
      <c r="C25">
        <f>B23*((1-(1+Assumptions!B41)^-Assumptions!B40)/Assumptions!B41)</f>
        <v>1173066.2434410006</v>
      </c>
      <c r="D25">
        <f>D23*((1-(1+Assumptions!B41)^-Assumptions!B40)/Assumptions!B41)</f>
        <v>4692264.9737640023</v>
      </c>
      <c r="E25">
        <f>D23*((1-(1+Assumptions!B41)^-Assumptions!B40)/Assumptions!B41)</f>
        <v>4692264.9737640023</v>
      </c>
      <c r="F25">
        <f>F23*((1-(1+Assumptions!B41)^-Assumptions!B40)/Assumptions!B41)</f>
        <v>11730662.434410008</v>
      </c>
      <c r="G25">
        <f>F23*((1-(1+Assumptions!B41)^-Assumptions!B40)/Assumptions!B41)</f>
        <v>11730662.434410008</v>
      </c>
    </row>
    <row r="26" spans="1:7" x14ac:dyDescent="0.3">
      <c r="A26" t="s">
        <v>59</v>
      </c>
      <c r="B26" s="8">
        <f>C12</f>
        <v>250000</v>
      </c>
      <c r="C26" s="8">
        <f>C12</f>
        <v>250000</v>
      </c>
      <c r="D26" s="8">
        <f>E12</f>
        <v>1000000</v>
      </c>
      <c r="E26" s="8">
        <f>E12</f>
        <v>1000000</v>
      </c>
      <c r="F26" s="8">
        <f>G12</f>
        <v>2500000</v>
      </c>
      <c r="G26" s="8">
        <f>G12</f>
        <v>2500000</v>
      </c>
    </row>
    <row r="27" spans="1:7" x14ac:dyDescent="0.3">
      <c r="A27" t="s">
        <v>73</v>
      </c>
      <c r="B27">
        <f>B22*Assumptions!B40</f>
        <v>175000</v>
      </c>
      <c r="C27">
        <f>B22*Assumptions!B40</f>
        <v>175000</v>
      </c>
      <c r="D27">
        <f>D22*Assumptions!B40</f>
        <v>700000</v>
      </c>
      <c r="E27">
        <f>D22*Assumptions!B40</f>
        <v>700000</v>
      </c>
      <c r="F27">
        <f>F22*Assumptions!B40</f>
        <v>1750000</v>
      </c>
      <c r="G27">
        <f>F22*Assumptions!B40</f>
        <v>1750000</v>
      </c>
    </row>
    <row r="28" spans="1:7" x14ac:dyDescent="0.3">
      <c r="A28" t="s">
        <v>74</v>
      </c>
      <c r="B28" s="8">
        <f>B25-B26-B27</f>
        <v>748066.24344100058</v>
      </c>
      <c r="C28" s="8">
        <f t="shared" ref="C28:G28" si="4">C25-C26-C27</f>
        <v>748066.24344100058</v>
      </c>
      <c r="D28" s="8">
        <f t="shared" si="4"/>
        <v>2992264.9737640023</v>
      </c>
      <c r="E28" s="18">
        <f>E25-E26-E27</f>
        <v>2992264.9737640023</v>
      </c>
      <c r="F28" s="8">
        <f t="shared" si="4"/>
        <v>7480662.4344100077</v>
      </c>
      <c r="G28" s="8">
        <f t="shared" si="4"/>
        <v>7480662.4344100077</v>
      </c>
    </row>
    <row r="29" spans="1:7" x14ac:dyDescent="0.3">
      <c r="A29" t="s">
        <v>75</v>
      </c>
      <c r="B29" s="10">
        <f>B26/B23</f>
        <v>1.8179286303034887</v>
      </c>
      <c r="C29" s="10">
        <f t="shared" ref="C29:G29" si="5">C26/C23</f>
        <v>1.8179286303034887</v>
      </c>
      <c r="D29" s="10">
        <f t="shared" si="5"/>
        <v>1.8179286303034887</v>
      </c>
      <c r="E29" s="10">
        <f t="shared" si="5"/>
        <v>1.8179286303034887</v>
      </c>
      <c r="F29" s="10">
        <f t="shared" si="5"/>
        <v>1.8179286303034883</v>
      </c>
      <c r="G29" s="10">
        <f t="shared" si="5"/>
        <v>1.8179286303034883</v>
      </c>
    </row>
    <row r="30" spans="1:7" x14ac:dyDescent="0.3">
      <c r="A30" t="s">
        <v>76</v>
      </c>
      <c r="B30" s="9">
        <f>B28/B26</f>
        <v>2.9922649737640024</v>
      </c>
      <c r="C30" s="9">
        <f t="shared" ref="C30:G30" si="6">C28/C26</f>
        <v>2.9922649737640024</v>
      </c>
      <c r="D30" s="9">
        <f t="shared" si="6"/>
        <v>2.9922649737640024</v>
      </c>
      <c r="E30" s="9">
        <f t="shared" si="6"/>
        <v>2.9922649737640024</v>
      </c>
      <c r="F30" s="9">
        <f t="shared" si="6"/>
        <v>2.9922649737640032</v>
      </c>
      <c r="G30" s="9">
        <f t="shared" si="6"/>
        <v>2.9922649737640032</v>
      </c>
    </row>
    <row r="31" spans="1:7" x14ac:dyDescent="0.3">
      <c r="A31" t="s">
        <v>77</v>
      </c>
      <c r="B31" s="11">
        <f>CEILING(B29,1)</f>
        <v>2</v>
      </c>
      <c r="C31">
        <f t="shared" ref="C31:G31" si="7">CEILING(C29,1)</f>
        <v>2</v>
      </c>
      <c r="D31">
        <f t="shared" si="7"/>
        <v>2</v>
      </c>
      <c r="E31">
        <f t="shared" si="7"/>
        <v>2</v>
      </c>
      <c r="F31">
        <f t="shared" si="7"/>
        <v>2</v>
      </c>
      <c r="G31">
        <f t="shared" si="7"/>
        <v>2</v>
      </c>
    </row>
  </sheetData>
  <mergeCells count="5">
    <mergeCell ref="A3:F3"/>
    <mergeCell ref="A13:G13"/>
    <mergeCell ref="A7:G7"/>
    <mergeCell ref="A24:G24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B2162-CD34-407F-8622-18BF8A2A343C}">
  <dimension ref="A1:H34"/>
  <sheetViews>
    <sheetView zoomScale="80" workbookViewId="0">
      <selection activeCell="A11" sqref="A11:G11"/>
    </sheetView>
  </sheetViews>
  <sheetFormatPr defaultRowHeight="14.4" x14ac:dyDescent="0.3"/>
  <cols>
    <col min="1" max="1" width="27.33203125" bestFit="1" customWidth="1"/>
    <col min="2" max="5" width="13.88671875" bestFit="1" customWidth="1"/>
    <col min="6" max="6" width="14.88671875" bestFit="1" customWidth="1"/>
    <col min="7" max="7" width="13" bestFit="1" customWidth="1"/>
    <col min="8" max="8" width="13.6640625" bestFit="1" customWidth="1"/>
  </cols>
  <sheetData>
    <row r="1" spans="1:7" ht="21.6" thickBot="1" x14ac:dyDescent="0.45">
      <c r="A1" s="33" t="s">
        <v>78</v>
      </c>
      <c r="B1" s="33"/>
      <c r="C1" s="33"/>
      <c r="D1" s="33"/>
      <c r="E1" s="33"/>
      <c r="F1" s="33"/>
      <c r="G1" s="33"/>
    </row>
    <row r="2" spans="1:7" ht="15" thickTop="1" x14ac:dyDescent="0.3">
      <c r="A2" s="36" t="s">
        <v>79</v>
      </c>
      <c r="B2" s="36"/>
      <c r="C2" s="36"/>
      <c r="D2" s="36"/>
      <c r="E2" s="36"/>
      <c r="F2" s="36"/>
      <c r="G2" s="36"/>
    </row>
    <row r="4" spans="1:7" ht="30" customHeight="1" x14ac:dyDescent="0.3">
      <c r="A4" s="15" t="s">
        <v>80</v>
      </c>
      <c r="B4" s="37" t="s">
        <v>81</v>
      </c>
      <c r="C4" s="37"/>
      <c r="D4" s="37"/>
      <c r="E4" s="37"/>
      <c r="F4" s="37"/>
      <c r="G4" s="37"/>
    </row>
    <row r="5" spans="1:7" ht="30" customHeight="1" x14ac:dyDescent="0.3">
      <c r="A5" s="15" t="s">
        <v>82</v>
      </c>
      <c r="B5" s="37" t="s">
        <v>83</v>
      </c>
      <c r="C5" s="37"/>
      <c r="D5" s="37"/>
      <c r="E5" s="37"/>
      <c r="F5" s="37"/>
      <c r="G5" s="37"/>
    </row>
    <row r="7" spans="1:7" ht="15.6" x14ac:dyDescent="0.3">
      <c r="A7" s="34" t="s">
        <v>84</v>
      </c>
      <c r="B7" s="34"/>
      <c r="C7" s="34" t="s">
        <v>85</v>
      </c>
      <c r="D7" s="34"/>
      <c r="E7" s="34" t="s">
        <v>86</v>
      </c>
      <c r="F7" s="34"/>
      <c r="G7" s="34"/>
    </row>
    <row r="8" spans="1:7" x14ac:dyDescent="0.3">
      <c r="A8" s="40">
        <f>Model!B29</f>
        <v>1.8179286303034887</v>
      </c>
      <c r="B8" s="40"/>
      <c r="C8" s="41">
        <f>Model!B30</f>
        <v>2.9922649737640024</v>
      </c>
      <c r="D8" s="41"/>
      <c r="E8" s="35">
        <f>Model!B31</f>
        <v>2</v>
      </c>
      <c r="F8" s="35"/>
      <c r="G8" s="35"/>
    </row>
    <row r="9" spans="1:7" x14ac:dyDescent="0.3">
      <c r="A9" s="42" t="s">
        <v>87</v>
      </c>
      <c r="B9" s="42"/>
      <c r="C9" s="42"/>
      <c r="D9" s="42"/>
      <c r="E9" s="42"/>
      <c r="F9" s="42"/>
      <c r="G9" s="42"/>
    </row>
    <row r="11" spans="1:7" ht="15.6" x14ac:dyDescent="0.3">
      <c r="A11" s="34" t="s">
        <v>88</v>
      </c>
      <c r="B11" s="34"/>
      <c r="C11" s="34"/>
      <c r="D11" s="34"/>
      <c r="E11" s="34"/>
      <c r="F11" s="34"/>
      <c r="G11" s="34"/>
    </row>
    <row r="12" spans="1:7" x14ac:dyDescent="0.3">
      <c r="A12" s="3" t="s">
        <v>51</v>
      </c>
      <c r="B12" s="5" t="s">
        <v>48</v>
      </c>
      <c r="C12" s="12" t="s">
        <v>89</v>
      </c>
      <c r="D12" s="6" t="s">
        <v>49</v>
      </c>
      <c r="E12" s="13" t="s">
        <v>90</v>
      </c>
      <c r="F12" s="7" t="s">
        <v>50</v>
      </c>
      <c r="G12" s="14" t="s">
        <v>91</v>
      </c>
    </row>
    <row r="13" spans="1:7" s="4" customFormat="1" x14ac:dyDescent="0.3">
      <c r="A13" s="4" t="s">
        <v>59</v>
      </c>
      <c r="B13" s="4">
        <f>Model!C12</f>
        <v>250000</v>
      </c>
      <c r="D13" s="4">
        <f>Model!E12</f>
        <v>1000000</v>
      </c>
      <c r="F13" s="4">
        <f>Model!G12</f>
        <v>2500000</v>
      </c>
    </row>
    <row r="14" spans="1:7" s="4" customFormat="1" x14ac:dyDescent="0.3">
      <c r="A14" s="4" t="s">
        <v>92</v>
      </c>
      <c r="B14" s="4">
        <f>Model!C11</f>
        <v>300000</v>
      </c>
      <c r="D14" s="4">
        <f>Model!E11</f>
        <v>1200000</v>
      </c>
      <c r="F14" s="4">
        <f>Model!G11</f>
        <v>3000000</v>
      </c>
    </row>
    <row r="15" spans="1:7" s="4" customFormat="1" x14ac:dyDescent="0.3">
      <c r="A15" s="4" t="s">
        <v>93</v>
      </c>
      <c r="B15" s="4">
        <f>Model!C23</f>
        <v>137519.15</v>
      </c>
      <c r="D15" s="4">
        <f>Model!E23</f>
        <v>550076.6</v>
      </c>
      <c r="F15" s="4">
        <f>Model!G23</f>
        <v>1375191.5000000002</v>
      </c>
    </row>
    <row r="16" spans="1:7" s="4" customFormat="1" x14ac:dyDescent="0.3">
      <c r="A16" s="4" t="s">
        <v>72</v>
      </c>
      <c r="B16" s="4">
        <f>Model!C25</f>
        <v>1173066.2434410006</v>
      </c>
      <c r="D16" s="4">
        <f>Model!E25</f>
        <v>4692264.9737640023</v>
      </c>
      <c r="F16" s="4">
        <f>Model!G25</f>
        <v>11730662.434410008</v>
      </c>
    </row>
    <row r="17" spans="1:8" s="4" customFormat="1" x14ac:dyDescent="0.3">
      <c r="A17" s="4" t="s">
        <v>73</v>
      </c>
      <c r="B17" s="4">
        <f>Model!C27</f>
        <v>175000</v>
      </c>
      <c r="D17" s="4">
        <f>Model!E27</f>
        <v>700000</v>
      </c>
      <c r="F17" s="4">
        <f>Model!G27</f>
        <v>1750000</v>
      </c>
    </row>
    <row r="18" spans="1:8" s="4" customFormat="1" x14ac:dyDescent="0.3">
      <c r="A18" s="4" t="s">
        <v>74</v>
      </c>
      <c r="B18" s="4">
        <f>Model!C28</f>
        <v>748066.24344100058</v>
      </c>
      <c r="D18" s="4">
        <f>Model!E28</f>
        <v>2992264.9737640023</v>
      </c>
      <c r="F18" s="4">
        <f>Model!G28</f>
        <v>7480662.4344100077</v>
      </c>
    </row>
    <row r="19" spans="1:8" x14ac:dyDescent="0.3">
      <c r="A19" t="s">
        <v>75</v>
      </c>
      <c r="B19" s="10">
        <f>Model!C29</f>
        <v>1.8179286303034887</v>
      </c>
      <c r="D19" s="10">
        <f>Model!E29</f>
        <v>1.8179286303034887</v>
      </c>
      <c r="F19" s="10">
        <f>Model!G29</f>
        <v>1.8179286303034883</v>
      </c>
    </row>
    <row r="20" spans="1:8" x14ac:dyDescent="0.3">
      <c r="A20" t="s">
        <v>76</v>
      </c>
      <c r="B20" s="9">
        <f>Model!C30</f>
        <v>2.9922649737640024</v>
      </c>
      <c r="D20" s="9">
        <f>Model!E30</f>
        <v>2.9922649737640024</v>
      </c>
      <c r="F20" s="9">
        <f>Model!G30</f>
        <v>2.9922649737640032</v>
      </c>
    </row>
    <row r="21" spans="1:8" x14ac:dyDescent="0.3">
      <c r="A21" t="s">
        <v>94</v>
      </c>
      <c r="B21">
        <f>Model!C31</f>
        <v>2</v>
      </c>
      <c r="D21">
        <f>Model!E31</f>
        <v>2</v>
      </c>
      <c r="F21">
        <f>Model!G31</f>
        <v>2</v>
      </c>
    </row>
    <row r="23" spans="1:8" ht="15.6" x14ac:dyDescent="0.3">
      <c r="A23" s="34" t="s">
        <v>95</v>
      </c>
      <c r="B23" s="34"/>
      <c r="C23" s="34"/>
      <c r="D23" s="34"/>
      <c r="E23" s="34"/>
      <c r="F23" s="34"/>
      <c r="G23" s="34"/>
    </row>
    <row r="24" spans="1:8" ht="30" customHeight="1" x14ac:dyDescent="0.3">
      <c r="A24" s="38" t="s">
        <v>96</v>
      </c>
      <c r="B24" s="38"/>
      <c r="C24" s="38"/>
      <c r="D24" s="38"/>
      <c r="E24" s="38"/>
      <c r="F24" s="38"/>
      <c r="G24" s="38"/>
    </row>
    <row r="25" spans="1:8" ht="30" customHeight="1" x14ac:dyDescent="0.3">
      <c r="A25" s="39" t="s">
        <v>97</v>
      </c>
      <c r="B25" s="39"/>
      <c r="C25" s="39"/>
      <c r="D25" s="39"/>
      <c r="E25" s="39"/>
      <c r="F25" s="39"/>
      <c r="G25" s="39"/>
    </row>
    <row r="28" spans="1:8" ht="15.6" x14ac:dyDescent="0.3">
      <c r="A28" s="34" t="s">
        <v>102</v>
      </c>
      <c r="B28" s="34"/>
      <c r="C28" s="34"/>
      <c r="D28" s="34"/>
      <c r="E28" s="34"/>
      <c r="F28" s="34"/>
      <c r="H28" s="17"/>
    </row>
    <row r="29" spans="1:8" x14ac:dyDescent="0.3">
      <c r="A29" s="22" t="s">
        <v>101</v>
      </c>
      <c r="B29">
        <f>Assumptions!B44</f>
        <v>0.4</v>
      </c>
      <c r="C29">
        <f>Assumptions!C44</f>
        <v>0.5</v>
      </c>
      <c r="D29" s="16">
        <f>Assumptions!D44</f>
        <v>0.65</v>
      </c>
      <c r="E29">
        <f>Assumptions!E44</f>
        <v>0.75</v>
      </c>
      <c r="F29">
        <f>Assumptions!F44</f>
        <v>0.85</v>
      </c>
      <c r="H29" s="8"/>
    </row>
    <row r="30" spans="1:8" x14ac:dyDescent="0.3">
      <c r="A30" s="20">
        <f>Assumptions!A45</f>
        <v>0.25</v>
      </c>
      <c r="B30" s="4">
        <f>Assumptions!B45</f>
        <v>-871369.27227332676</v>
      </c>
      <c r="C30" s="4">
        <f>Assumptions!C45</f>
        <v>-514933.04069808125</v>
      </c>
      <c r="D30" s="4">
        <f>Assumptions!D45</f>
        <v>19721.306664786534</v>
      </c>
      <c r="E30" s="4">
        <f>Assumptions!E45</f>
        <v>376157.53824003204</v>
      </c>
      <c r="F30" s="4">
        <f>Assumptions!F45</f>
        <v>732593.76981527684</v>
      </c>
    </row>
    <row r="31" spans="1:8" x14ac:dyDescent="0.3">
      <c r="A31" s="20">
        <f>Assumptions!A46</f>
        <v>0.35</v>
      </c>
      <c r="B31" s="4">
        <f>Assumptions!B46</f>
        <v>43259.548372585559</v>
      </c>
      <c r="C31" s="4">
        <f>Assumptions!C46</f>
        <v>628352.98510930873</v>
      </c>
      <c r="D31" s="4">
        <f>Assumptions!D46</f>
        <v>1505993.1402143938</v>
      </c>
      <c r="E31" s="4">
        <f>Assumptions!E46</f>
        <v>2091086.5769511187</v>
      </c>
      <c r="F31" s="4">
        <f>Assumptions!F46</f>
        <v>2676180.0136878407</v>
      </c>
    </row>
    <row r="32" spans="1:8" x14ac:dyDescent="0.3">
      <c r="A32" s="21">
        <f>Assumptions!A47</f>
        <v>0.45</v>
      </c>
      <c r="B32" s="4">
        <f>Assumptions!B47</f>
        <v>957888.36901849881</v>
      </c>
      <c r="C32" s="4">
        <f>Assumptions!C47</f>
        <v>1771639.0109167006</v>
      </c>
      <c r="D32" s="23">
        <f>Assumptions!D47</f>
        <v>2992264.9737640023</v>
      </c>
      <c r="E32" s="4">
        <f>Assumptions!E47</f>
        <v>3806015.6156622032</v>
      </c>
      <c r="F32" s="4">
        <f>Assumptions!F47</f>
        <v>4619766.2575604059</v>
      </c>
    </row>
    <row r="33" spans="1:6" x14ac:dyDescent="0.3">
      <c r="A33" s="20">
        <f>Assumptions!A48</f>
        <v>0.55000000000000004</v>
      </c>
      <c r="B33" s="4">
        <f>Assumptions!B48</f>
        <v>1872517.1896644109</v>
      </c>
      <c r="C33" s="4">
        <f>Assumptions!C48</f>
        <v>2914925.0367240906</v>
      </c>
      <c r="D33" s="4">
        <f>Assumptions!D48</f>
        <v>4478536.8073136099</v>
      </c>
      <c r="E33" s="4">
        <f>Assumptions!E48</f>
        <v>5520944.65437329</v>
      </c>
      <c r="F33" s="4">
        <f>Assumptions!F48</f>
        <v>6563352.5014329711</v>
      </c>
    </row>
    <row r="34" spans="1:6" x14ac:dyDescent="0.3">
      <c r="A34" s="20">
        <f>Assumptions!A49</f>
        <v>0.65</v>
      </c>
      <c r="B34" s="4">
        <f>Assumptions!B49</f>
        <v>2787146.0103103239</v>
      </c>
      <c r="C34" s="4">
        <f>Assumptions!C49</f>
        <v>4058211.0625314824</v>
      </c>
      <c r="D34" s="4">
        <f>Assumptions!D49</f>
        <v>5964808.6408632165</v>
      </c>
      <c r="E34" s="4">
        <f>Assumptions!E49</f>
        <v>7235873.6930843759</v>
      </c>
      <c r="F34" s="4">
        <f>Assumptions!F49</f>
        <v>8506938.7453055345</v>
      </c>
    </row>
  </sheetData>
  <mergeCells count="16">
    <mergeCell ref="A28:F28"/>
    <mergeCell ref="A23:G23"/>
    <mergeCell ref="A24:G24"/>
    <mergeCell ref="A25:G25"/>
    <mergeCell ref="A8:B8"/>
    <mergeCell ref="C8:D8"/>
    <mergeCell ref="A9:G9"/>
    <mergeCell ref="A11:G11"/>
    <mergeCell ref="E7:G7"/>
    <mergeCell ref="E8:G8"/>
    <mergeCell ref="A1:G1"/>
    <mergeCell ref="A2:G2"/>
    <mergeCell ref="B4:G4"/>
    <mergeCell ref="B5:G5"/>
    <mergeCell ref="A7:B7"/>
    <mergeCell ref="C7:D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2CEE-49FE-4A08-A44A-F19E7F119E2D}">
  <dimension ref="A1:K25"/>
  <sheetViews>
    <sheetView tabSelected="1" zoomScale="64" workbookViewId="0">
      <selection activeCell="L50" sqref="L50"/>
    </sheetView>
  </sheetViews>
  <sheetFormatPr defaultRowHeight="14.4" x14ac:dyDescent="0.3"/>
  <cols>
    <col min="1" max="1" width="16.6640625" bestFit="1" customWidth="1"/>
    <col min="2" max="2" width="14.6640625" customWidth="1"/>
    <col min="3" max="3" width="14" customWidth="1"/>
    <col min="4" max="4" width="13.33203125" customWidth="1"/>
    <col min="5" max="5" width="17.21875" bestFit="1" customWidth="1"/>
    <col min="6" max="6" width="13.77734375" customWidth="1"/>
    <col min="7" max="7" width="12" bestFit="1" customWidth="1"/>
    <col min="8" max="8" width="11.21875" bestFit="1" customWidth="1"/>
  </cols>
  <sheetData>
    <row r="1" spans="1:11" ht="21" x14ac:dyDescent="0.4">
      <c r="A1" s="44" t="s">
        <v>103</v>
      </c>
      <c r="B1" s="44"/>
      <c r="C1" s="44"/>
      <c r="D1" s="44"/>
      <c r="E1" s="44"/>
      <c r="F1" s="44"/>
      <c r="G1" s="44"/>
      <c r="H1" s="44"/>
    </row>
    <row r="2" spans="1:11" x14ac:dyDescent="0.3">
      <c r="A2" s="45" t="s">
        <v>104</v>
      </c>
      <c r="B2" s="45"/>
      <c r="C2" s="45"/>
      <c r="D2" s="45"/>
      <c r="E2" s="45"/>
      <c r="F2" s="45"/>
      <c r="G2" s="45"/>
      <c r="H2" s="45"/>
    </row>
    <row r="3" spans="1:11" x14ac:dyDescent="0.3">
      <c r="A3" s="26"/>
      <c r="B3" s="26"/>
      <c r="C3" s="26"/>
      <c r="D3" s="26"/>
      <c r="E3" s="26"/>
      <c r="F3" s="26"/>
      <c r="G3" s="26"/>
      <c r="H3" s="26"/>
    </row>
    <row r="4" spans="1:11" x14ac:dyDescent="0.3">
      <c r="B4" s="46" t="s">
        <v>117</v>
      </c>
      <c r="C4" s="46"/>
      <c r="D4" s="46"/>
      <c r="E4" s="27" t="s">
        <v>122</v>
      </c>
      <c r="J4" t="s">
        <v>125</v>
      </c>
    </row>
    <row r="5" spans="1:11" x14ac:dyDescent="0.3">
      <c r="A5" s="24" t="s">
        <v>105</v>
      </c>
      <c r="B5" s="24" t="s">
        <v>118</v>
      </c>
      <c r="C5" s="24" t="s">
        <v>119</v>
      </c>
      <c r="D5" s="24" t="s">
        <v>120</v>
      </c>
      <c r="E5" s="24" t="s">
        <v>121</v>
      </c>
      <c r="F5" s="24" t="s">
        <v>106</v>
      </c>
      <c r="G5" s="24" t="s">
        <v>107</v>
      </c>
      <c r="H5" s="24" t="s">
        <v>108</v>
      </c>
      <c r="J5" s="24" t="s">
        <v>123</v>
      </c>
      <c r="K5" s="24" t="s">
        <v>124</v>
      </c>
    </row>
    <row r="6" spans="1:11" x14ac:dyDescent="0.3">
      <c r="A6">
        <v>1</v>
      </c>
      <c r="B6">
        <f>Assumptions!$B$10*Assumptions!$B$35*Assumptions!$B$37*Assumptions!$B$14*Assumptions!$B$15*Assumptions!$B$18*Assumptions!$B$42</f>
        <v>65338.65</v>
      </c>
      <c r="C6">
        <f>Assumptions!$B$9*Assumptions!$B$35*Assumptions!$B$37*Assumptions!$B$14*Assumptions!$B$15*Assumptions!$B$42</f>
        <v>13665.600000000004</v>
      </c>
      <c r="D6">
        <f>B6-C6</f>
        <v>51673.049999999996</v>
      </c>
      <c r="E6">
        <f>D6*(1+0.03)</f>
        <v>53223.241499999996</v>
      </c>
      <c r="F6">
        <f>E6-D6</f>
        <v>1550.1915000000008</v>
      </c>
      <c r="G6">
        <f>ABS(F6/D6)</f>
        <v>3.000000000000002E-2</v>
      </c>
      <c r="H6" t="str">
        <f>IF(G6&lt;=0.05,"Yes","No")</f>
        <v>Yes</v>
      </c>
      <c r="J6">
        <f>D6*1.05</f>
        <v>54256.702499999999</v>
      </c>
      <c r="K6">
        <f>D6*0.95</f>
        <v>49089.397499999992</v>
      </c>
    </row>
    <row r="7" spans="1:11" x14ac:dyDescent="0.3">
      <c r="A7">
        <v>2</v>
      </c>
      <c r="B7">
        <f>Assumptions!$B$10*Assumptions!$B$35*Assumptions!$B$37*Assumptions!$B$14*Assumptions!$B$15*Assumptions!$B$18*Assumptions!$B$42</f>
        <v>65338.65</v>
      </c>
      <c r="C7">
        <f>Assumptions!$B$9*Assumptions!$B$35*Assumptions!$B$37*Assumptions!$B$14*Assumptions!$B$15*Assumptions!$B$42</f>
        <v>13665.600000000004</v>
      </c>
      <c r="D7">
        <f t="shared" ref="D7:D17" si="0">B7-C7</f>
        <v>51673.049999999996</v>
      </c>
      <c r="E7">
        <f>D7*(1-0.02)</f>
        <v>50639.588999999993</v>
      </c>
      <c r="F7">
        <f t="shared" ref="F7:F17" si="1">E7-D7</f>
        <v>-1033.461000000003</v>
      </c>
      <c r="G7">
        <f t="shared" ref="G7:G17" si="2">ABS(F7/D7)</f>
        <v>2.0000000000000059E-2</v>
      </c>
      <c r="H7" t="str">
        <f t="shared" ref="H7:H17" si="3">IF(G7&lt;=0.05,"Yes","No")</f>
        <v>Yes</v>
      </c>
      <c r="J7">
        <f t="shared" ref="J7:J17" si="4">D7*1.05</f>
        <v>54256.702499999999</v>
      </c>
      <c r="K7">
        <f t="shared" ref="K7:K17" si="5">D7*0.95</f>
        <v>49089.397499999992</v>
      </c>
    </row>
    <row r="8" spans="1:11" x14ac:dyDescent="0.3">
      <c r="A8">
        <v>3</v>
      </c>
      <c r="B8">
        <f>Assumptions!$B$10*Assumptions!$B$35*Assumptions!$B$37*Assumptions!$B$14*Assumptions!$B$15*Assumptions!$B$18*Assumptions!$B$42</f>
        <v>65338.65</v>
      </c>
      <c r="C8">
        <f>Assumptions!$B$9*Assumptions!$B$35*Assumptions!$B$37*Assumptions!$B$14*Assumptions!$B$15*Assumptions!$B$42</f>
        <v>13665.600000000004</v>
      </c>
      <c r="D8">
        <f t="shared" si="0"/>
        <v>51673.049999999996</v>
      </c>
      <c r="E8">
        <f>D8*(1+0.05)</f>
        <v>54256.702499999999</v>
      </c>
      <c r="F8">
        <f t="shared" si="1"/>
        <v>2583.6525000000038</v>
      </c>
      <c r="G8">
        <f t="shared" si="2"/>
        <v>5.0000000000000079E-2</v>
      </c>
      <c r="H8" t="str">
        <f t="shared" si="3"/>
        <v>No</v>
      </c>
      <c r="J8">
        <f t="shared" si="4"/>
        <v>54256.702499999999</v>
      </c>
      <c r="K8">
        <f t="shared" si="5"/>
        <v>49089.397499999992</v>
      </c>
    </row>
    <row r="9" spans="1:11" x14ac:dyDescent="0.3">
      <c r="A9">
        <v>4</v>
      </c>
      <c r="B9">
        <f>Assumptions!$B$10*Assumptions!$B$35*Assumptions!$B$37*Assumptions!$B$14*Assumptions!$B$15*Assumptions!$B$18*Assumptions!$B$42</f>
        <v>65338.65</v>
      </c>
      <c r="C9">
        <f>Assumptions!$B$9*Assumptions!$B$35*Assumptions!$B$37*Assumptions!$B$14*Assumptions!$B$15*Assumptions!$B$42</f>
        <v>13665.600000000004</v>
      </c>
      <c r="D9">
        <f t="shared" si="0"/>
        <v>51673.049999999996</v>
      </c>
      <c r="E9">
        <f>D9*(1-0.01)</f>
        <v>51156.319499999998</v>
      </c>
      <c r="F9">
        <f t="shared" si="1"/>
        <v>-516.73049999999785</v>
      </c>
      <c r="G9">
        <f t="shared" si="2"/>
        <v>9.9999999999999586E-3</v>
      </c>
      <c r="H9" t="str">
        <f t="shared" si="3"/>
        <v>Yes</v>
      </c>
      <c r="J9">
        <f t="shared" si="4"/>
        <v>54256.702499999999</v>
      </c>
      <c r="K9">
        <f t="shared" si="5"/>
        <v>49089.397499999992</v>
      </c>
    </row>
    <row r="10" spans="1:11" x14ac:dyDescent="0.3">
      <c r="A10">
        <v>5</v>
      </c>
      <c r="B10">
        <f>Assumptions!$B$10*Assumptions!$B$35*Assumptions!$B$37*Assumptions!$B$14*Assumptions!$B$15*Assumptions!$B$18*Assumptions!$B$42</f>
        <v>65338.65</v>
      </c>
      <c r="C10">
        <f>Assumptions!$B$9*Assumptions!$B$35*Assumptions!$B$37*Assumptions!$B$14*Assumptions!$B$15*Assumptions!$B$42</f>
        <v>13665.600000000004</v>
      </c>
      <c r="D10">
        <f t="shared" si="0"/>
        <v>51673.049999999996</v>
      </c>
      <c r="E10">
        <f>D10*(1+0.02)</f>
        <v>52706.510999999999</v>
      </c>
      <c r="F10">
        <f t="shared" si="1"/>
        <v>1033.461000000003</v>
      </c>
      <c r="G10">
        <f t="shared" si="2"/>
        <v>2.0000000000000059E-2</v>
      </c>
      <c r="H10" t="str">
        <f t="shared" si="3"/>
        <v>Yes</v>
      </c>
      <c r="J10">
        <f t="shared" si="4"/>
        <v>54256.702499999999</v>
      </c>
      <c r="K10">
        <f t="shared" si="5"/>
        <v>49089.397499999992</v>
      </c>
    </row>
    <row r="11" spans="1:11" x14ac:dyDescent="0.3">
      <c r="A11">
        <v>6</v>
      </c>
      <c r="B11">
        <f>Assumptions!$B$10*Assumptions!$B$35*Assumptions!$B$37*Assumptions!$B$14*Assumptions!$B$15*Assumptions!$B$18*Assumptions!$B$42</f>
        <v>65338.65</v>
      </c>
      <c r="C11">
        <f>Assumptions!$B$9*Assumptions!$B$35*Assumptions!$B$37*Assumptions!$B$14*Assumptions!$B$15*Assumptions!$B$42</f>
        <v>13665.600000000004</v>
      </c>
      <c r="D11">
        <f t="shared" si="0"/>
        <v>51673.049999999996</v>
      </c>
      <c r="E11">
        <f>D11*(1-0.03)</f>
        <v>50122.858499999995</v>
      </c>
      <c r="F11">
        <f t="shared" si="1"/>
        <v>-1550.1915000000008</v>
      </c>
      <c r="G11">
        <f t="shared" si="2"/>
        <v>3.000000000000002E-2</v>
      </c>
      <c r="H11" t="str">
        <f t="shared" si="3"/>
        <v>Yes</v>
      </c>
      <c r="J11">
        <f t="shared" si="4"/>
        <v>54256.702499999999</v>
      </c>
      <c r="K11">
        <f t="shared" si="5"/>
        <v>49089.397499999992</v>
      </c>
    </row>
    <row r="12" spans="1:11" x14ac:dyDescent="0.3">
      <c r="A12">
        <v>7</v>
      </c>
      <c r="B12">
        <f>Assumptions!$B$10*Assumptions!$B$35*Assumptions!$B$37*Assumptions!$B$14*Assumptions!$B$15*Assumptions!$B$18*Assumptions!$B$42</f>
        <v>65338.65</v>
      </c>
      <c r="C12">
        <f>Assumptions!$B$9*Assumptions!$B$35*Assumptions!$B$37*Assumptions!$B$14*Assumptions!$B$15*Assumptions!$B$42</f>
        <v>13665.600000000004</v>
      </c>
      <c r="D12">
        <f t="shared" si="0"/>
        <v>51673.049999999996</v>
      </c>
      <c r="E12">
        <f>D12*(1+0.01)</f>
        <v>52189.780499999993</v>
      </c>
      <c r="F12">
        <f t="shared" si="1"/>
        <v>516.73049999999785</v>
      </c>
      <c r="G12">
        <f t="shared" si="2"/>
        <v>9.9999999999999586E-3</v>
      </c>
      <c r="H12" t="str">
        <f t="shared" si="3"/>
        <v>Yes</v>
      </c>
      <c r="J12">
        <f t="shared" si="4"/>
        <v>54256.702499999999</v>
      </c>
      <c r="K12">
        <f t="shared" si="5"/>
        <v>49089.397499999992</v>
      </c>
    </row>
    <row r="13" spans="1:11" x14ac:dyDescent="0.3">
      <c r="A13">
        <v>8</v>
      </c>
      <c r="B13">
        <f>Assumptions!$B$10*Assumptions!$B$35*Assumptions!$B$37*Assumptions!$B$14*Assumptions!$B$15*Assumptions!$B$18*Assumptions!$B$42</f>
        <v>65338.65</v>
      </c>
      <c r="C13">
        <f>Assumptions!$B$9*Assumptions!$B$35*Assumptions!$B$37*Assumptions!$B$14*Assumptions!$B$15*Assumptions!$B$42</f>
        <v>13665.600000000004</v>
      </c>
      <c r="D13">
        <f t="shared" si="0"/>
        <v>51673.049999999996</v>
      </c>
      <c r="E13">
        <f>D13*(1-0.06)</f>
        <v>48572.666999999994</v>
      </c>
      <c r="F13">
        <f t="shared" si="1"/>
        <v>-3100.3830000000016</v>
      </c>
      <c r="G13">
        <f t="shared" si="2"/>
        <v>6.0000000000000039E-2</v>
      </c>
      <c r="H13" t="str">
        <f t="shared" si="3"/>
        <v>No</v>
      </c>
      <c r="J13">
        <f t="shared" si="4"/>
        <v>54256.702499999999</v>
      </c>
      <c r="K13">
        <f t="shared" si="5"/>
        <v>49089.397499999992</v>
      </c>
    </row>
    <row r="14" spans="1:11" x14ac:dyDescent="0.3">
      <c r="A14">
        <v>9</v>
      </c>
      <c r="B14">
        <f>Assumptions!$B$10*Assumptions!$B$35*Assumptions!$B$37*Assumptions!$B$14*Assumptions!$B$15*Assumptions!$B$18*Assumptions!$B$42</f>
        <v>65338.65</v>
      </c>
      <c r="C14">
        <f>Assumptions!$B$9*Assumptions!$B$35*Assumptions!$B$37*Assumptions!$B$14*Assumptions!$B$15*Assumptions!$B$42</f>
        <v>13665.600000000004</v>
      </c>
      <c r="D14">
        <f t="shared" si="0"/>
        <v>51673.049999999996</v>
      </c>
      <c r="E14">
        <f>D14*(1+0.02)</f>
        <v>52706.510999999999</v>
      </c>
      <c r="F14">
        <f t="shared" si="1"/>
        <v>1033.461000000003</v>
      </c>
      <c r="G14">
        <f t="shared" si="2"/>
        <v>2.0000000000000059E-2</v>
      </c>
      <c r="H14" t="str">
        <f t="shared" si="3"/>
        <v>Yes</v>
      </c>
      <c r="J14">
        <f t="shared" si="4"/>
        <v>54256.702499999999</v>
      </c>
      <c r="K14">
        <f t="shared" si="5"/>
        <v>49089.397499999992</v>
      </c>
    </row>
    <row r="15" spans="1:11" x14ac:dyDescent="0.3">
      <c r="A15">
        <v>10</v>
      </c>
      <c r="B15">
        <f>Assumptions!$B$10*Assumptions!$B$35*Assumptions!$B$37*Assumptions!$B$14*Assumptions!$B$15*Assumptions!$B$18*Assumptions!$B$42</f>
        <v>65338.65</v>
      </c>
      <c r="C15">
        <f>Assumptions!$B$9*Assumptions!$B$35*Assumptions!$B$37*Assumptions!$B$14*Assumptions!$B$15*Assumptions!$B$42</f>
        <v>13665.600000000004</v>
      </c>
      <c r="D15">
        <f t="shared" si="0"/>
        <v>51673.049999999996</v>
      </c>
      <c r="E15">
        <f>D15*(1-0.01)</f>
        <v>51156.319499999998</v>
      </c>
      <c r="F15">
        <f t="shared" si="1"/>
        <v>-516.73049999999785</v>
      </c>
      <c r="G15">
        <f t="shared" si="2"/>
        <v>9.9999999999999586E-3</v>
      </c>
      <c r="H15" t="str">
        <f t="shared" si="3"/>
        <v>Yes</v>
      </c>
      <c r="J15">
        <f t="shared" si="4"/>
        <v>54256.702499999999</v>
      </c>
      <c r="K15">
        <f t="shared" si="5"/>
        <v>49089.397499999992</v>
      </c>
    </row>
    <row r="16" spans="1:11" x14ac:dyDescent="0.3">
      <c r="A16">
        <v>11</v>
      </c>
      <c r="B16">
        <f>Assumptions!$B$10*Assumptions!$B$35*Assumptions!$B$37*Assumptions!$B$14*Assumptions!$B$15*Assumptions!$B$18*Assumptions!$B$42</f>
        <v>65338.65</v>
      </c>
      <c r="C16">
        <f>Assumptions!$B$9*Assumptions!$B$35*Assumptions!$B$37*Assumptions!$B$14*Assumptions!$B$15*Assumptions!$B$42</f>
        <v>13665.600000000004</v>
      </c>
      <c r="D16">
        <f t="shared" si="0"/>
        <v>51673.049999999996</v>
      </c>
      <c r="E16">
        <f>D16*(1+0.03)</f>
        <v>53223.241499999996</v>
      </c>
      <c r="F16">
        <f t="shared" si="1"/>
        <v>1550.1915000000008</v>
      </c>
      <c r="G16">
        <f t="shared" si="2"/>
        <v>3.000000000000002E-2</v>
      </c>
      <c r="H16" t="str">
        <f t="shared" si="3"/>
        <v>Yes</v>
      </c>
      <c r="J16">
        <f t="shared" si="4"/>
        <v>54256.702499999999</v>
      </c>
      <c r="K16">
        <f t="shared" si="5"/>
        <v>49089.397499999992</v>
      </c>
    </row>
    <row r="17" spans="1:11" x14ac:dyDescent="0.3">
      <c r="A17">
        <v>12</v>
      </c>
      <c r="B17">
        <f>Assumptions!$B$10*Assumptions!$B$35*Assumptions!$B$37*Assumptions!$B$14*Assumptions!$B$15*Assumptions!$B$18*Assumptions!$B$42</f>
        <v>65338.65</v>
      </c>
      <c r="C17">
        <f>Assumptions!$B$9*Assumptions!$B$35*Assumptions!$B$37*Assumptions!$B$14*Assumptions!$B$15*Assumptions!$B$42</f>
        <v>13665.600000000004</v>
      </c>
      <c r="D17">
        <f t="shared" si="0"/>
        <v>51673.049999999996</v>
      </c>
      <c r="E17">
        <f>D17*(1-0.02)</f>
        <v>50639.588999999993</v>
      </c>
      <c r="F17">
        <f t="shared" si="1"/>
        <v>-1033.461000000003</v>
      </c>
      <c r="G17">
        <f t="shared" si="2"/>
        <v>2.0000000000000059E-2</v>
      </c>
      <c r="H17" t="str">
        <f t="shared" si="3"/>
        <v>Yes</v>
      </c>
      <c r="J17">
        <f t="shared" si="4"/>
        <v>54256.702499999999</v>
      </c>
      <c r="K17">
        <f t="shared" si="5"/>
        <v>49089.397499999992</v>
      </c>
    </row>
    <row r="19" spans="1:11" ht="15.6" x14ac:dyDescent="0.3">
      <c r="A19" s="34" t="s">
        <v>116</v>
      </c>
      <c r="B19" s="34"/>
      <c r="C19" s="34"/>
      <c r="D19" s="34"/>
    </row>
    <row r="20" spans="1:11" x14ac:dyDescent="0.3">
      <c r="A20" s="43" t="s">
        <v>110</v>
      </c>
      <c r="B20" s="43"/>
      <c r="C20" s="4">
        <f>SUM(D6:D17)</f>
        <v>620076.6</v>
      </c>
    </row>
    <row r="21" spans="1:11" x14ac:dyDescent="0.3">
      <c r="A21" s="43" t="s">
        <v>111</v>
      </c>
      <c r="B21" s="43"/>
      <c r="C21" s="4">
        <f>SUM(E6:E17)</f>
        <v>620593.33049999992</v>
      </c>
    </row>
    <row r="22" spans="1:11" x14ac:dyDescent="0.3">
      <c r="A22" s="43" t="s">
        <v>112</v>
      </c>
      <c r="B22" s="43"/>
      <c r="C22" s="4">
        <f>SUM(B6:B17)</f>
        <v>784063.80000000016</v>
      </c>
    </row>
    <row r="23" spans="1:11" x14ac:dyDescent="0.3">
      <c r="A23" s="43" t="s">
        <v>113</v>
      </c>
      <c r="B23" s="43"/>
      <c r="C23" s="9">
        <f>AVERAGE(G6:G17)</f>
        <v>2.5833333333333361E-2</v>
      </c>
    </row>
    <row r="24" spans="1:11" x14ac:dyDescent="0.3">
      <c r="A24" s="43" t="s">
        <v>114</v>
      </c>
      <c r="B24" s="43"/>
      <c r="C24" s="9">
        <f>MAX(G6:G17)</f>
        <v>6.0000000000000039E-2</v>
      </c>
    </row>
    <row r="25" spans="1:11" x14ac:dyDescent="0.3">
      <c r="A25" s="43" t="s">
        <v>115</v>
      </c>
      <c r="B25" s="43"/>
      <c r="C25" t="str">
        <f>IF(MAX(G6:G17)&lt;=0.05,"Yes — NTM variance target met","No — variance exceeded 5%")</f>
        <v>No — variance exceeded 5%</v>
      </c>
    </row>
  </sheetData>
  <mergeCells count="10">
    <mergeCell ref="A25:B25"/>
    <mergeCell ref="A1:H1"/>
    <mergeCell ref="A2:H2"/>
    <mergeCell ref="B4:D4"/>
    <mergeCell ref="A19:D19"/>
    <mergeCell ref="A20:B20"/>
    <mergeCell ref="A21:B21"/>
    <mergeCell ref="A22:B22"/>
    <mergeCell ref="A23:B23"/>
    <mergeCell ref="A24:B24"/>
  </mergeCells>
  <conditionalFormatting sqref="H6:H17">
    <cfRule type="containsText" dxfId="1" priority="1" operator="containsText" text="Yes">
      <formula>NOT(ISERROR(SEARCH("Yes",H6)))</formula>
    </cfRule>
    <cfRule type="containsText" dxfId="0" priority="2" operator="containsText" text="No">
      <formula>NOT(ISERROR(SEARCH("No",H6)))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4B95-410A-4B7D-957F-27DE6D6ED073}">
  <dimension ref="A1:J31"/>
  <sheetViews>
    <sheetView workbookViewId="0">
      <selection activeCell="H3" sqref="H3"/>
    </sheetView>
  </sheetViews>
  <sheetFormatPr defaultColWidth="22.21875" defaultRowHeight="14.4" x14ac:dyDescent="0.3"/>
  <cols>
    <col min="1" max="1" width="10.77734375" bestFit="1" customWidth="1"/>
    <col min="2" max="2" width="8.109375" bestFit="1" customWidth="1"/>
    <col min="3" max="3" width="12.6640625" bestFit="1" customWidth="1"/>
    <col min="4" max="4" width="16.6640625" bestFit="1" customWidth="1"/>
    <col min="5" max="5" width="19.109375" bestFit="1" customWidth="1"/>
    <col min="6" max="6" width="15.44140625" bestFit="1" customWidth="1"/>
    <col min="7" max="7" width="12.5546875" bestFit="1" customWidth="1"/>
    <col min="8" max="8" width="12.88671875" bestFit="1" customWidth="1"/>
    <col min="9" max="9" width="11.5546875" bestFit="1" customWidth="1"/>
    <col min="10" max="10" width="8" bestFit="1" customWidth="1"/>
  </cols>
  <sheetData>
    <row r="1" spans="1:10" x14ac:dyDescent="0.3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</row>
    <row r="2" spans="1:10" x14ac:dyDescent="0.3">
      <c r="A2" t="s">
        <v>136</v>
      </c>
      <c r="B2">
        <v>50</v>
      </c>
      <c r="C2" s="47">
        <v>250000</v>
      </c>
      <c r="D2" s="47">
        <v>300000</v>
      </c>
      <c r="E2" s="47">
        <v>137519</v>
      </c>
      <c r="F2" s="47">
        <v>1173066</v>
      </c>
      <c r="G2" s="47">
        <v>175000</v>
      </c>
      <c r="H2" s="47">
        <v>748066</v>
      </c>
      <c r="I2">
        <v>1.8</v>
      </c>
      <c r="J2" s="48">
        <v>2.992</v>
      </c>
    </row>
    <row r="3" spans="1:10" x14ac:dyDescent="0.3">
      <c r="A3" t="s">
        <v>137</v>
      </c>
      <c r="B3">
        <v>200</v>
      </c>
      <c r="C3" s="47">
        <v>1000000</v>
      </c>
      <c r="D3" s="47">
        <v>1200000</v>
      </c>
      <c r="E3" s="47">
        <v>550077</v>
      </c>
      <c r="F3" s="47">
        <v>4692265</v>
      </c>
      <c r="G3" s="47">
        <v>700000</v>
      </c>
      <c r="H3" s="47">
        <v>2992265</v>
      </c>
      <c r="I3">
        <v>1.8</v>
      </c>
      <c r="J3" s="48">
        <v>2.992</v>
      </c>
    </row>
    <row r="4" spans="1:10" x14ac:dyDescent="0.3">
      <c r="A4" t="s">
        <v>138</v>
      </c>
      <c r="B4">
        <v>500</v>
      </c>
      <c r="C4" s="47">
        <v>2500000</v>
      </c>
      <c r="D4" s="47">
        <v>3000000</v>
      </c>
      <c r="E4" s="47">
        <v>1375192</v>
      </c>
      <c r="F4" s="47">
        <v>11730662</v>
      </c>
      <c r="G4" s="47">
        <v>1750000</v>
      </c>
      <c r="H4" s="47">
        <v>7480662</v>
      </c>
      <c r="I4">
        <v>1.8</v>
      </c>
      <c r="J4" s="48">
        <v>2.992</v>
      </c>
    </row>
    <row r="8" spans="1:10" x14ac:dyDescent="0.3">
      <c r="B8" s="47"/>
      <c r="C8" s="47"/>
      <c r="D8" s="47"/>
      <c r="E8" s="47"/>
      <c r="F8" s="47"/>
      <c r="G8" s="48"/>
    </row>
    <row r="9" spans="1:10" x14ac:dyDescent="0.3">
      <c r="B9" s="47"/>
      <c r="C9" s="47"/>
      <c r="D9" s="47"/>
      <c r="E9" s="47"/>
      <c r="F9" s="47"/>
      <c r="G9" s="48"/>
    </row>
    <row r="10" spans="1:10" x14ac:dyDescent="0.3">
      <c r="B10" s="47"/>
      <c r="C10" s="47"/>
      <c r="D10" s="47"/>
      <c r="E10" s="47"/>
      <c r="F10" s="47"/>
      <c r="G10" s="48"/>
    </row>
    <row r="11" spans="1:10" x14ac:dyDescent="0.3">
      <c r="B11" s="47"/>
      <c r="C11" s="47"/>
      <c r="D11" s="47"/>
      <c r="E11" s="47"/>
      <c r="F11" s="47"/>
      <c r="G11" s="48"/>
    </row>
    <row r="12" spans="1:10" x14ac:dyDescent="0.3">
      <c r="B12" s="47"/>
      <c r="C12" s="47"/>
      <c r="D12" s="47"/>
      <c r="E12" s="47"/>
      <c r="F12" s="47"/>
      <c r="G12" s="48"/>
    </row>
    <row r="13" spans="1:10" x14ac:dyDescent="0.3">
      <c r="B13" s="47"/>
      <c r="C13" s="47"/>
      <c r="D13" s="47"/>
      <c r="E13" s="47"/>
      <c r="F13" s="47"/>
      <c r="G13" s="48"/>
    </row>
    <row r="14" spans="1:10" x14ac:dyDescent="0.3">
      <c r="B14" s="47"/>
      <c r="C14" s="47"/>
      <c r="D14" s="47"/>
      <c r="E14" s="47"/>
      <c r="F14" s="47"/>
      <c r="G14" s="48"/>
    </row>
    <row r="15" spans="1:10" x14ac:dyDescent="0.3">
      <c r="B15" s="47"/>
      <c r="C15" s="47"/>
      <c r="D15" s="47"/>
      <c r="E15" s="47"/>
      <c r="F15" s="47"/>
      <c r="G15" s="48"/>
    </row>
    <row r="16" spans="1:10" x14ac:dyDescent="0.3">
      <c r="B16" s="47"/>
      <c r="C16" s="47"/>
      <c r="D16" s="47"/>
      <c r="E16" s="47"/>
      <c r="F16" s="47"/>
      <c r="G16" s="48"/>
    </row>
    <row r="17" spans="2:7" x14ac:dyDescent="0.3">
      <c r="B17" s="47"/>
      <c r="C17" s="47"/>
      <c r="D17" s="47"/>
      <c r="E17" s="47"/>
      <c r="F17" s="47"/>
      <c r="G17" s="48"/>
    </row>
    <row r="18" spans="2:7" x14ac:dyDescent="0.3">
      <c r="B18" s="47"/>
      <c r="C18" s="47"/>
      <c r="D18" s="47"/>
      <c r="E18" s="47"/>
      <c r="F18" s="47"/>
      <c r="G18" s="48"/>
    </row>
    <row r="22" spans="2:7" x14ac:dyDescent="0.3">
      <c r="B22" s="49"/>
    </row>
    <row r="23" spans="2:7" x14ac:dyDescent="0.3">
      <c r="B23" s="49"/>
    </row>
    <row r="24" spans="2:7" x14ac:dyDescent="0.3">
      <c r="B24" s="49"/>
    </row>
    <row r="25" spans="2:7" x14ac:dyDescent="0.3">
      <c r="B25" s="50"/>
    </row>
    <row r="26" spans="2:7" x14ac:dyDescent="0.3">
      <c r="B26" s="50"/>
    </row>
    <row r="27" spans="2:7" x14ac:dyDescent="0.3">
      <c r="B27" s="47"/>
    </row>
    <row r="28" spans="2:7" x14ac:dyDescent="0.3">
      <c r="B28" s="47"/>
    </row>
    <row r="29" spans="2:7" x14ac:dyDescent="0.3">
      <c r="B29" s="47"/>
    </row>
    <row r="31" spans="2:7" x14ac:dyDescent="0.3">
      <c r="B31" s="5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3913-4B1B-4E4C-93F7-8EF638ED6CB9}">
  <dimension ref="A1:C11"/>
  <sheetViews>
    <sheetView workbookViewId="0">
      <selection sqref="A1:XFD1048576"/>
    </sheetView>
  </sheetViews>
  <sheetFormatPr defaultRowHeight="14.4" x14ac:dyDescent="0.3"/>
  <cols>
    <col min="1" max="1" width="24.21875" bestFit="1" customWidth="1"/>
    <col min="2" max="2" width="7" bestFit="1" customWidth="1"/>
    <col min="3" max="3" width="6.44140625" bestFit="1" customWidth="1"/>
  </cols>
  <sheetData>
    <row r="1" spans="1:3" x14ac:dyDescent="0.3">
      <c r="A1" t="s">
        <v>145</v>
      </c>
      <c r="B1" t="s">
        <v>146</v>
      </c>
      <c r="C1" t="s">
        <v>147</v>
      </c>
    </row>
    <row r="2" spans="1:3" x14ac:dyDescent="0.3">
      <c r="A2" t="s">
        <v>148</v>
      </c>
      <c r="B2" s="49">
        <v>0.69699999999999995</v>
      </c>
      <c r="C2" t="s">
        <v>4</v>
      </c>
    </row>
    <row r="3" spans="1:3" x14ac:dyDescent="0.3">
      <c r="A3" t="s">
        <v>149</v>
      </c>
      <c r="B3" s="49">
        <v>0.45</v>
      </c>
      <c r="C3" t="s">
        <v>4</v>
      </c>
    </row>
    <row r="4" spans="1:3" x14ac:dyDescent="0.3">
      <c r="A4" t="s">
        <v>150</v>
      </c>
      <c r="B4" s="49">
        <v>0.08</v>
      </c>
      <c r="C4" t="s">
        <v>4</v>
      </c>
    </row>
    <row r="5" spans="1:3" x14ac:dyDescent="0.3">
      <c r="A5" t="s">
        <v>151</v>
      </c>
      <c r="B5" s="50">
        <v>0.65</v>
      </c>
      <c r="C5" t="s">
        <v>20</v>
      </c>
    </row>
    <row r="6" spans="1:3" x14ac:dyDescent="0.3">
      <c r="A6" t="s">
        <v>14</v>
      </c>
      <c r="B6" s="50">
        <v>0.85</v>
      </c>
      <c r="C6" t="s">
        <v>20</v>
      </c>
    </row>
    <row r="7" spans="1:3" x14ac:dyDescent="0.3">
      <c r="A7" t="s">
        <v>152</v>
      </c>
      <c r="B7" s="47">
        <v>6000</v>
      </c>
      <c r="C7" t="s">
        <v>28</v>
      </c>
    </row>
    <row r="8" spans="1:3" x14ac:dyDescent="0.3">
      <c r="A8" t="s">
        <v>153</v>
      </c>
      <c r="B8" s="47">
        <v>5000</v>
      </c>
      <c r="C8" t="s">
        <v>28</v>
      </c>
    </row>
    <row r="9" spans="1:3" x14ac:dyDescent="0.3">
      <c r="A9" t="s">
        <v>154</v>
      </c>
      <c r="B9" s="47">
        <v>350</v>
      </c>
      <c r="C9" t="s">
        <v>155</v>
      </c>
    </row>
    <row r="10" spans="1:3" x14ac:dyDescent="0.3">
      <c r="A10" t="s">
        <v>41</v>
      </c>
      <c r="B10">
        <v>10</v>
      </c>
      <c r="C10" t="s">
        <v>43</v>
      </c>
    </row>
    <row r="11" spans="1:3" x14ac:dyDescent="0.3">
      <c r="A11" t="s">
        <v>156</v>
      </c>
      <c r="B11" s="50">
        <v>0.03</v>
      </c>
      <c r="C11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BD35-6739-43B6-B172-7221EA78AB84}">
  <dimension ref="A1:H12"/>
  <sheetViews>
    <sheetView workbookViewId="0">
      <selection activeCell="D18" sqref="D18"/>
    </sheetView>
  </sheetViews>
  <sheetFormatPr defaultRowHeight="14.4" x14ac:dyDescent="0.3"/>
  <cols>
    <col min="1" max="1" width="6.44140625" bestFit="1" customWidth="1"/>
    <col min="2" max="2" width="24.109375" bestFit="1" customWidth="1"/>
    <col min="3" max="3" width="21.5546875" bestFit="1" customWidth="1"/>
    <col min="4" max="4" width="22.6640625" bestFit="1" customWidth="1"/>
    <col min="5" max="5" width="17.33203125" bestFit="1" customWidth="1"/>
    <col min="6" max="6" width="10.6640625" bestFit="1" customWidth="1"/>
    <col min="7" max="7" width="11.109375" bestFit="1" customWidth="1"/>
    <col min="8" max="8" width="10.109375" bestFit="1" customWidth="1"/>
  </cols>
  <sheetData>
    <row r="1" spans="1:8" x14ac:dyDescent="0.3">
      <c r="A1" t="s">
        <v>105</v>
      </c>
      <c r="B1" t="s">
        <v>139</v>
      </c>
      <c r="C1" t="s">
        <v>140</v>
      </c>
      <c r="D1" t="s">
        <v>141</v>
      </c>
      <c r="E1" t="s">
        <v>142</v>
      </c>
      <c r="F1" t="s">
        <v>106</v>
      </c>
      <c r="G1" t="s">
        <v>107</v>
      </c>
      <c r="H1" t="s">
        <v>108</v>
      </c>
    </row>
    <row r="2" spans="1:8" x14ac:dyDescent="0.3">
      <c r="A2">
        <v>1</v>
      </c>
      <c r="B2" s="47">
        <v>65339</v>
      </c>
      <c r="C2" s="47">
        <v>13666</v>
      </c>
      <c r="D2" s="47">
        <v>51673</v>
      </c>
      <c r="E2" s="47">
        <v>53223</v>
      </c>
      <c r="F2" s="47">
        <v>1550</v>
      </c>
      <c r="G2" s="48">
        <v>0.03</v>
      </c>
      <c r="H2" t="s">
        <v>143</v>
      </c>
    </row>
    <row r="3" spans="1:8" x14ac:dyDescent="0.3">
      <c r="A3">
        <v>2</v>
      </c>
      <c r="B3" s="47">
        <v>65339</v>
      </c>
      <c r="C3" s="47">
        <v>13666</v>
      </c>
      <c r="D3" s="47">
        <v>51673</v>
      </c>
      <c r="E3" s="47">
        <v>50640</v>
      </c>
      <c r="F3" s="47">
        <v>-1033</v>
      </c>
      <c r="G3" s="48">
        <v>0.02</v>
      </c>
      <c r="H3" t="s">
        <v>143</v>
      </c>
    </row>
    <row r="4" spans="1:8" x14ac:dyDescent="0.3">
      <c r="A4">
        <v>3</v>
      </c>
      <c r="B4" s="47">
        <v>65339</v>
      </c>
      <c r="C4" s="47">
        <v>13666</v>
      </c>
      <c r="D4" s="47">
        <v>51673</v>
      </c>
      <c r="E4" s="47">
        <v>54257</v>
      </c>
      <c r="F4" s="47">
        <v>2584</v>
      </c>
      <c r="G4" s="48">
        <v>0.05</v>
      </c>
      <c r="H4" t="s">
        <v>144</v>
      </c>
    </row>
    <row r="5" spans="1:8" x14ac:dyDescent="0.3">
      <c r="A5">
        <v>4</v>
      </c>
      <c r="B5" s="47">
        <v>65339</v>
      </c>
      <c r="C5" s="47">
        <v>13666</v>
      </c>
      <c r="D5" s="47">
        <v>51673</v>
      </c>
      <c r="E5" s="47">
        <v>51156</v>
      </c>
      <c r="F5" s="47">
        <v>-517</v>
      </c>
      <c r="G5" s="48">
        <v>0.01</v>
      </c>
      <c r="H5" t="s">
        <v>143</v>
      </c>
    </row>
    <row r="6" spans="1:8" x14ac:dyDescent="0.3">
      <c r="A6">
        <v>5</v>
      </c>
      <c r="B6" s="47">
        <v>65339</v>
      </c>
      <c r="C6" s="47">
        <v>13666</v>
      </c>
      <c r="D6" s="47">
        <v>51673</v>
      </c>
      <c r="E6" s="47">
        <v>52707</v>
      </c>
      <c r="F6" s="47">
        <v>1033</v>
      </c>
      <c r="G6" s="48">
        <v>0.02</v>
      </c>
      <c r="H6" t="s">
        <v>143</v>
      </c>
    </row>
    <row r="7" spans="1:8" x14ac:dyDescent="0.3">
      <c r="A7">
        <v>6</v>
      </c>
      <c r="B7" s="47">
        <v>65339</v>
      </c>
      <c r="C7" s="47">
        <v>13666</v>
      </c>
      <c r="D7" s="47">
        <v>51673</v>
      </c>
      <c r="E7" s="47">
        <v>50123</v>
      </c>
      <c r="F7" s="47">
        <v>-1550</v>
      </c>
      <c r="G7" s="48">
        <v>0.03</v>
      </c>
      <c r="H7" t="s">
        <v>143</v>
      </c>
    </row>
    <row r="8" spans="1:8" x14ac:dyDescent="0.3">
      <c r="A8">
        <v>7</v>
      </c>
      <c r="B8" s="47">
        <v>65339</v>
      </c>
      <c r="C8" s="47">
        <v>13666</v>
      </c>
      <c r="D8" s="47">
        <v>51673</v>
      </c>
      <c r="E8" s="47">
        <v>52190</v>
      </c>
      <c r="F8" s="47">
        <v>517</v>
      </c>
      <c r="G8" s="48">
        <v>0.01</v>
      </c>
      <c r="H8" t="s">
        <v>143</v>
      </c>
    </row>
    <row r="9" spans="1:8" x14ac:dyDescent="0.3">
      <c r="A9">
        <v>8</v>
      </c>
      <c r="B9" s="47">
        <v>65339</v>
      </c>
      <c r="C9" s="47">
        <v>13666</v>
      </c>
      <c r="D9" s="47">
        <v>51673</v>
      </c>
      <c r="E9" s="47">
        <v>48573</v>
      </c>
      <c r="F9" s="47">
        <v>-3100</v>
      </c>
      <c r="G9" s="48">
        <v>0.06</v>
      </c>
      <c r="H9" t="s">
        <v>144</v>
      </c>
    </row>
    <row r="10" spans="1:8" x14ac:dyDescent="0.3">
      <c r="A10">
        <v>9</v>
      </c>
      <c r="B10" s="47">
        <v>65339</v>
      </c>
      <c r="C10" s="47">
        <v>13666</v>
      </c>
      <c r="D10" s="47">
        <v>51673</v>
      </c>
      <c r="E10" s="47">
        <v>52707</v>
      </c>
      <c r="F10" s="47">
        <v>1033</v>
      </c>
      <c r="G10" s="48">
        <v>0.02</v>
      </c>
      <c r="H10" t="s">
        <v>143</v>
      </c>
    </row>
    <row r="11" spans="1:8" x14ac:dyDescent="0.3">
      <c r="A11">
        <v>10</v>
      </c>
      <c r="B11" s="47">
        <v>65339</v>
      </c>
      <c r="C11" s="47">
        <v>13666</v>
      </c>
      <c r="D11" s="47">
        <v>51673</v>
      </c>
      <c r="E11" s="47">
        <v>51156</v>
      </c>
      <c r="F11" s="47">
        <v>-517</v>
      </c>
      <c r="G11" s="48">
        <v>0.01</v>
      </c>
      <c r="H11" t="s">
        <v>143</v>
      </c>
    </row>
    <row r="12" spans="1:8" x14ac:dyDescent="0.3">
      <c r="A12">
        <v>11</v>
      </c>
      <c r="B12" s="47">
        <v>65339</v>
      </c>
      <c r="C12" s="47">
        <v>13666</v>
      </c>
      <c r="D12" s="47">
        <v>51673</v>
      </c>
      <c r="E12" s="47">
        <v>53223</v>
      </c>
      <c r="F12" s="47">
        <v>1550</v>
      </c>
      <c r="G12" s="48">
        <v>0.03</v>
      </c>
      <c r="H1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Model</vt:lpstr>
      <vt:lpstr>Summary</vt:lpstr>
      <vt:lpstr>NTM Forecast</vt:lpstr>
      <vt:lpstr>PBI Scenario Summary</vt:lpstr>
      <vt:lpstr>PBI Assumptions</vt:lpstr>
      <vt:lpstr>PBI NTM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Kaitlyn Straight</dc:creator>
  <cp:lastModifiedBy>Kaitlyn Straight</cp:lastModifiedBy>
  <dcterms:created xsi:type="dcterms:W3CDTF">2026-04-28T16:39:09Z</dcterms:created>
  <dcterms:modified xsi:type="dcterms:W3CDTF">2026-04-28T22:07:45Z</dcterms:modified>
</cp:coreProperties>
</file>